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CapeDeth++\hojeon_yongjin\app-hojeon\app\excel\"/>
    </mc:Choice>
  </mc:AlternateContent>
  <xr:revisionPtr revIDLastSave="0" documentId="8_{3212C806-C80B-4775-8D3A-96B180BA43FA}" xr6:coauthVersionLast="47" xr6:coauthVersionMax="47" xr10:uidLastSave="{00000000-0000-0000-0000-000000000000}"/>
  <bookViews>
    <workbookView xWindow="-120" yWindow="330" windowWidth="29040" windowHeight="15990" xr2:uid="{6C4E7D16-961A-4859-A713-796ACEAE0113}"/>
  </bookViews>
  <sheets>
    <sheet name="Scope 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 localSheetId="0" hidden="1">{#N/A,#N/A,FALSE,"단축1";#N/A,#N/A,FALSE,"단축2";#N/A,#N/A,FALSE,"단축3";#N/A,#N/A,FALSE,"장축";#N/A,#N/A,FALSE,"4WD"}</definedName>
    <definedName name="\\" hidden="1">{#N/A,#N/A,FALSE,"단축1";#N/A,#N/A,FALSE,"단축2";#N/A,#N/A,FALSE,"단축3";#N/A,#N/A,FALSE,"장축";#N/A,#N/A,FALSE,"4WD"}</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2">#REF!</definedName>
    <definedName name="_______DAT23">#REF!</definedName>
    <definedName name="_______DAT24">#REF!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44">#REF!</definedName>
    <definedName name="_______DAT45">#REF!</definedName>
    <definedName name="_______DAT46">#REF!</definedName>
    <definedName name="_______DAT47">#REF!</definedName>
    <definedName name="_______DAT48">#REF!</definedName>
    <definedName name="_______DAT5">#REF!</definedName>
    <definedName name="_______DAT6">#REF!</definedName>
    <definedName name="_______DAT7">#REF!</definedName>
    <definedName name="_______DAT8">#REF!</definedName>
    <definedName name="_______DAT9">#REF!</definedName>
    <definedName name="_______SUM1" localSheetId="0" hidden="1">{#N/A,#N/A,FALSE,"단축1";#N/A,#N/A,FALSE,"단축2";#N/A,#N/A,FALSE,"단축3";#N/A,#N/A,FALSE,"장축";#N/A,#N/A,FALSE,"4WD"}</definedName>
    <definedName name="_______SUM1" hidden="1">{#N/A,#N/A,FALSE,"단축1";#N/A,#N/A,FALSE,"단축2";#N/A,#N/A,FALSE,"단축3";#N/A,#N/A,FALSE,"장축";#N/A,#N/A,FALSE,"4WD"}</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W2" localSheetId="0" hidden="1">{#N/A,#N/A,FALSE,"품의서";#N/A,#N/A,FALSE,"전제";#N/A,#N/A,FALSE,"총손";#N/A,#N/A,FALSE,"손익"}</definedName>
    <definedName name="_______W2" hidden="1">{#N/A,#N/A,FALSE,"품의서";#N/A,#N/A,FALSE,"전제";#N/A,#N/A,FALSE,"총손";#N/A,#N/A,FALSE,"손익"}</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44">#REF!</definedName>
    <definedName name="______DAT45">#REF!</definedName>
    <definedName name="______DAT46">#REF!</definedName>
    <definedName name="______DAT47">#REF!</definedName>
    <definedName name="______DAT48">#REF!</definedName>
    <definedName name="______DAT5">#REF!</definedName>
    <definedName name="______DAT6">#REF!</definedName>
    <definedName name="______DAT7">#REF!</definedName>
    <definedName name="______DAT8">#REF!</definedName>
    <definedName name="______DAT9">#REF!</definedName>
    <definedName name="______SUM1" localSheetId="0" hidden="1">{#N/A,#N/A,FALSE,"단축1";#N/A,#N/A,FALSE,"단축2";#N/A,#N/A,FALSE,"단축3";#N/A,#N/A,FALSE,"장축";#N/A,#N/A,FALSE,"4WD"}</definedName>
    <definedName name="______SUM1" hidden="1">{#N/A,#N/A,FALSE,"단축1";#N/A,#N/A,FALSE,"단축2";#N/A,#N/A,FALSE,"단축3";#N/A,#N/A,FALSE,"장축";#N/A,#N/A,FALSE,"4WD"}</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W2" localSheetId="0" hidden="1">{#N/A,#N/A,FALSE,"품의서";#N/A,#N/A,FALSE,"전제";#N/A,#N/A,FALSE,"총손";#N/A,#N/A,FALSE,"손익"}</definedName>
    <definedName name="______W2" hidden="1">{#N/A,#N/A,FALSE,"품의서";#N/A,#N/A,FALSE,"전제";#N/A,#N/A,FALSE,"총손";#N/A,#N/A,FALSE,"손익"}</definedName>
    <definedName name="_____DAT1">#REF!</definedName>
    <definedName name="_____SUM1" localSheetId="0" hidden="1">{#N/A,#N/A,FALSE,"단축1";#N/A,#N/A,FALSE,"단축2";#N/A,#N/A,FALSE,"단축3";#N/A,#N/A,FALSE,"장축";#N/A,#N/A,FALSE,"4WD"}</definedName>
    <definedName name="_____SUM1" hidden="1">{#N/A,#N/A,FALSE,"단축1";#N/A,#N/A,FALSE,"단축2";#N/A,#N/A,FALSE,"단축3";#N/A,#N/A,FALSE,"장축";#N/A,#N/A,FALSE,"4WD"}</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W2" localSheetId="0" hidden="1">{#N/A,#N/A,FALSE,"품의서";#N/A,#N/A,FALSE,"전제";#N/A,#N/A,FALSE,"총손";#N/A,#N/A,FALSE,"손익"}</definedName>
    <definedName name="_____W2" hidden="1">{#N/A,#N/A,FALSE,"품의서";#N/A,#N/A,FALSE,"전제";#N/A,#N/A,FALSE,"총손";#N/A,#N/A,FALSE,"손익"}</definedName>
    <definedName name="____ERT1" localSheetId="0" hidden="1">{#N/A,#N/A,FALSE,"단축1";#N/A,#N/A,FALSE,"단축2";#N/A,#N/A,FALSE,"단축3";#N/A,#N/A,FALSE,"장축";#N/A,#N/A,FALSE,"4WD"}</definedName>
    <definedName name="____ERT1" hidden="1">{#N/A,#N/A,FALSE,"단축1";#N/A,#N/A,FALSE,"단축2";#N/A,#N/A,FALSE,"단축3";#N/A,#N/A,FALSE,"장축";#N/A,#N/A,FALSE,"4WD"}</definedName>
    <definedName name="____SDW1" hidden="1">#REF!</definedName>
    <definedName name="____SUM1" localSheetId="0" hidden="1">{#N/A,#N/A,FALSE,"단축1";#N/A,#N/A,FALSE,"단축2";#N/A,#N/A,FALSE,"단축3";#N/A,#N/A,FALSE,"장축";#N/A,#N/A,FALSE,"4WD"}</definedName>
    <definedName name="____SUM1" hidden="1">{#N/A,#N/A,FALSE,"단축1";#N/A,#N/A,FALSE,"단축2";#N/A,#N/A,FALSE,"단축3";#N/A,#N/A,FALSE,"장축";#N/A,#N/A,FALSE,"4WD"}</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W2" localSheetId="0" hidden="1">{#N/A,#N/A,FALSE,"품의서";#N/A,#N/A,FALSE,"전제";#N/A,#N/A,FALSE,"총손";#N/A,#N/A,FALSE,"손익"}</definedName>
    <definedName name="____W2" hidden="1">{#N/A,#N/A,FALSE,"품의서";#N/A,#N/A,FALSE,"전제";#N/A,#N/A,FALSE,"총손";#N/A,#N/A,FALSE,"손익"}</definedName>
    <definedName name="___A4" localSheetId="0" hidden="1">{#N/A,#N/A,FALSE,"KMC최종회의(7월) 자료"}</definedName>
    <definedName name="___A4" hidden="1">{#N/A,#N/A,FALSE,"KMC최종회의(7월) 자료"}</definedName>
    <definedName name="___ERT1" localSheetId="0" hidden="1">{#N/A,#N/A,FALSE,"단축1";#N/A,#N/A,FALSE,"단축2";#N/A,#N/A,FALSE,"단축3";#N/A,#N/A,FALSE,"장축";#N/A,#N/A,FALSE,"4WD"}</definedName>
    <definedName name="___ERT1" hidden="1">{#N/A,#N/A,FALSE,"단축1";#N/A,#N/A,FALSE,"단축2";#N/A,#N/A,FALSE,"단축3";#N/A,#N/A,FALSE,"장축";#N/A,#N/A,FALSE,"4WD"}</definedName>
    <definedName name="___SDW1" hidden="1">#REF!</definedName>
    <definedName name="___SUM1" localSheetId="0" hidden="1">{#N/A,#N/A,FALSE,"단축1";#N/A,#N/A,FALSE,"단축2";#N/A,#N/A,FALSE,"단축3";#N/A,#N/A,FALSE,"장축";#N/A,#N/A,FALSE,"4WD"}</definedName>
    <definedName name="___SUM1" hidden="1">{#N/A,#N/A,FALSE,"단축1";#N/A,#N/A,FALSE,"단축2";#N/A,#N/A,FALSE,"단축3";#N/A,#N/A,FALSE,"장축";#N/A,#N/A,FALSE,"4WD"}</definedName>
    <definedName name="___T2" localSheetId="0" hidden="1">{#N/A,#N/A,FALSE,"단축1";#N/A,#N/A,FALSE,"단축2";#N/A,#N/A,FALSE,"단축3";#N/A,#N/A,FALSE,"장축";#N/A,#N/A,FALSE,"4WD"}</definedName>
    <definedName name="___T2" hidden="1">{#N/A,#N/A,FALSE,"단축1";#N/A,#N/A,FALSE,"단축2";#N/A,#N/A,FALSE,"단축3";#N/A,#N/A,FALSE,"장축";#N/A,#N/A,FALSE,"4WD"}</definedName>
    <definedName name="___TRT11" localSheetId="0" hidden="1">{#N/A,#N/A,FALSE,"표지";#N/A,#N/A,FALSE,"전제";#N/A,#N/A,FALSE,"손익-자 (2)";#N/A,#N/A,FALSE,"손익-자";#N/A,#N/A,FALSE,"손익-마 (2)";#N/A,#N/A,FALSE,"손익-마";#N/A,#N/A,FALSE,"총손최종"}</definedName>
    <definedName name="___TRT11" hidden="1">{#N/A,#N/A,FALSE,"표지";#N/A,#N/A,FALSE,"전제";#N/A,#N/A,FALSE,"손익-자 (2)";#N/A,#N/A,FALSE,"손익-자";#N/A,#N/A,FALSE,"손익-마 (2)";#N/A,#N/A,FALSE,"손익-마";#N/A,#N/A,FALSE,"총손최종"}</definedName>
    <definedName name="___W2" localSheetId="0" hidden="1">{#N/A,#N/A,FALSE,"품의서";#N/A,#N/A,FALSE,"전제";#N/A,#N/A,FALSE,"총손";#N/A,#N/A,FALSE,"손익"}</definedName>
    <definedName name="___W2" hidden="1">{#N/A,#N/A,FALSE,"품의서";#N/A,#N/A,FALSE,"전제";#N/A,#N/A,FALSE,"총손";#N/A,#N/A,FALSE,"손익"}</definedName>
    <definedName name="__123Graph_A" hidden="1">'[3]TABLO-3'!$B$4:$B$4</definedName>
    <definedName name="__123Graph_B" hidden="1">'[3]TABLO-3'!$B$5:$B$5</definedName>
    <definedName name="__123Graph_C" hidden="1">'[3]TABLO-3'!$B$6:$B$6</definedName>
    <definedName name="__123Graph_D" hidden="1">'[3]TABLO-3'!$B$7:$B$7</definedName>
    <definedName name="__123Graph_E" hidden="1">'[3]TABLO-3'!$B$8:$B$8</definedName>
    <definedName name="__123Graph_X" hidden="1">'[3]TABLO-3'!$A$4:$A$8</definedName>
    <definedName name="__A1" localSheetId="0" hidden="1">{#N/A,#N/A,FALSE,"KMC최종회의(7월) 자료"}</definedName>
    <definedName name="__A1" hidden="1">{#N/A,#N/A,FALSE,"KMC최종회의(7월) 자료"}</definedName>
    <definedName name="__A2" localSheetId="0" hidden="1">{#N/A,#N/A,FALSE,"KMC최종회의(7월) 자료"}</definedName>
    <definedName name="__A2" hidden="1">{#N/A,#N/A,FALSE,"KMC최종회의(7월) 자료"}</definedName>
    <definedName name="__A3" localSheetId="0" hidden="1">{#N/A,#N/A,FALSE,"단축1";#N/A,#N/A,FALSE,"단축2";#N/A,#N/A,FALSE,"단축3";#N/A,#N/A,FALSE,"장축";#N/A,#N/A,FALSE,"4WD"}</definedName>
    <definedName name="__A3" hidden="1">{#N/A,#N/A,FALSE,"단축1";#N/A,#N/A,FALSE,"단축2";#N/A,#N/A,FALSE,"단축3";#N/A,#N/A,FALSE,"장축";#N/A,#N/A,FALSE,"4WD"}</definedName>
    <definedName name="__A5" localSheetId="0" hidden="1">{#N/A,#N/A,FALSE,"KMC최종회의(7월) 자료"}</definedName>
    <definedName name="__A5" hidden="1">{#N/A,#N/A,FALSE,"KMC최종회의(7월) 자료"}</definedName>
    <definedName name="__A6" localSheetId="0" hidden="1">{#N/A,#N/A,FALSE,"KMC최종회의(7월) 자료"}</definedName>
    <definedName name="__A6" hidden="1">{#N/A,#N/A,FALSE,"KMC최종회의(7월) 자료"}</definedName>
    <definedName name="__A7" localSheetId="0" hidden="1">{#N/A,#N/A,FALSE,"KMC최종회의(7월) 자료"}</definedName>
    <definedName name="__A7" hidden="1">{#N/A,#N/A,FALSE,"KMC최종회의(7월) 자료"}</definedName>
    <definedName name="__A8" localSheetId="0" hidden="1">{#N/A,#N/A,FALSE,"KMC최종회의(7월) 자료"}</definedName>
    <definedName name="__A8" hidden="1">{#N/A,#N/A,FALSE,"KMC최종회의(7월) 자료"}</definedName>
    <definedName name="__A9" localSheetId="0" hidden="1">{#N/A,#N/A,FALSE,"KMC최종회의(7월) 자료"}</definedName>
    <definedName name="__A9" hidden="1">{#N/A,#N/A,FALSE,"KMC최종회의(7월) 자료"}</definedName>
    <definedName name="__AA4" localSheetId="0"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D20" localSheetId="0" hidden="1">{#N/A,#N/A,FALSE,"단축1";#N/A,#N/A,FALSE,"단축2";#N/A,#N/A,FALSE,"단축3";#N/A,#N/A,FALSE,"장축";#N/A,#N/A,FALSE,"4WD"}</definedName>
    <definedName name="__D20" hidden="1">{#N/A,#N/A,FALSE,"단축1";#N/A,#N/A,FALSE,"단축2";#N/A,#N/A,FALSE,"단축3";#N/A,#N/A,FALSE,"장축";#N/A,#N/A,FALSE,"4WD"}</definedName>
    <definedName name="__DR1" localSheetId="0" hidden="1">{#N/A,#N/A,FALSE,"업체선정";#N/A,#N/A,FALSE,"업체선정sheet";#N/A,#N/A,FALSE,"업체실태";#N/A,#N/A,FALSE,"업체실태(1)";#N/A,#N/A,FALSE,"종업원현황(2)";#N/A,#N/A,FALSE,"생산품목(3)";#N/A,#N/A,FALSE,"장비보유현황";#N/A,#N/A,FALSE,"차량및약도";#N/A,#N/A,FALSE,"금형LIST"}</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localSheetId="0" hidden="1">{#N/A,#N/A,FALSE,"KMC최종회의(7월) 자료"}</definedName>
    <definedName name="__E1" hidden="1">{#N/A,#N/A,FALSE,"KMC최종회의(7월) 자료"}</definedName>
    <definedName name="__E2" localSheetId="0" hidden="1">{#N/A,#N/A,FALSE,"KMC최종회의(7월) 자료"}</definedName>
    <definedName name="__E2" hidden="1">{#N/A,#N/A,FALSE,"KMC최종회의(7월) 자료"}</definedName>
    <definedName name="__e3" localSheetId="0" hidden="1">{#N/A,#N/A,FALSE,"단축1";#N/A,#N/A,FALSE,"단축2";#N/A,#N/A,FALSE,"단축3";#N/A,#N/A,FALSE,"장축";#N/A,#N/A,FALSE,"4WD"}</definedName>
    <definedName name="__e3" hidden="1">{#N/A,#N/A,FALSE,"단축1";#N/A,#N/A,FALSE,"단축2";#N/A,#N/A,FALSE,"단축3";#N/A,#N/A,FALSE,"장축";#N/A,#N/A,FALSE,"4WD"}</definedName>
    <definedName name="__e4" localSheetId="0" hidden="1">{#N/A,#N/A,FALSE,"단축1";#N/A,#N/A,FALSE,"단축2";#N/A,#N/A,FALSE,"단축3";#N/A,#N/A,FALSE,"장축";#N/A,#N/A,FALSE,"4WD"}</definedName>
    <definedName name="__e4" hidden="1">{#N/A,#N/A,FALSE,"단축1";#N/A,#N/A,FALSE,"단축2";#N/A,#N/A,FALSE,"단축3";#N/A,#N/A,FALSE,"장축";#N/A,#N/A,FALSE,"4WD"}</definedName>
    <definedName name="__e5" localSheetId="0" hidden="1">{#N/A,#N/A,FALSE,"단축1";#N/A,#N/A,FALSE,"단축2";#N/A,#N/A,FALSE,"단축3";#N/A,#N/A,FALSE,"장축";#N/A,#N/A,FALSE,"4WD"}</definedName>
    <definedName name="__e5" hidden="1">{#N/A,#N/A,FALSE,"단축1";#N/A,#N/A,FALSE,"단축2";#N/A,#N/A,FALSE,"단축3";#N/A,#N/A,FALSE,"장축";#N/A,#N/A,FALSE,"4WD"}</definedName>
    <definedName name="__e6" localSheetId="0" hidden="1">{#N/A,#N/A,FALSE,"단축1";#N/A,#N/A,FALSE,"단축2";#N/A,#N/A,FALSE,"단축3";#N/A,#N/A,FALSE,"장축";#N/A,#N/A,FALSE,"4WD"}</definedName>
    <definedName name="__e6" hidden="1">{#N/A,#N/A,FALSE,"단축1";#N/A,#N/A,FALSE,"단축2";#N/A,#N/A,FALSE,"단축3";#N/A,#N/A,FALSE,"장축";#N/A,#N/A,FALSE,"4WD"}</definedName>
    <definedName name="__e7" localSheetId="0" hidden="1">{#N/A,#N/A,FALSE,"신규dep";#N/A,#N/A,FALSE,"신규dep-금형상각후";#N/A,#N/A,FALSE,"신규dep-연구비상각후";#N/A,#N/A,FALSE,"신규dep-기계,공구상각후"}</definedName>
    <definedName name="__e7" hidden="1">{#N/A,#N/A,FALSE,"신규dep";#N/A,#N/A,FALSE,"신규dep-금형상각후";#N/A,#N/A,FALSE,"신규dep-연구비상각후";#N/A,#N/A,FALSE,"신규dep-기계,공구상각후"}</definedName>
    <definedName name="__e8" localSheetId="0"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localSheetId="0" hidden="1">{#N/A,#N/A,FALSE,"단축1";#N/A,#N/A,FALSE,"단축2";#N/A,#N/A,FALSE,"단축3";#N/A,#N/A,FALSE,"장축";#N/A,#N/A,FALSE,"4WD"}</definedName>
    <definedName name="__e9" hidden="1">{#N/A,#N/A,FALSE,"단축1";#N/A,#N/A,FALSE,"단축2";#N/A,#N/A,FALSE,"단축3";#N/A,#N/A,FALSE,"장축";#N/A,#N/A,FALSE,"4WD"}</definedName>
    <definedName name="__ERT1" localSheetId="0" hidden="1">{#N/A,#N/A,FALSE,"단축1";#N/A,#N/A,FALSE,"단축2";#N/A,#N/A,FALSE,"단축3";#N/A,#N/A,FALSE,"장축";#N/A,#N/A,FALSE,"4WD"}</definedName>
    <definedName name="__ERT1" hidden="1">{#N/A,#N/A,FALSE,"단축1";#N/A,#N/A,FALSE,"단축2";#N/A,#N/A,FALSE,"단축3";#N/A,#N/A,FALSE,"장축";#N/A,#N/A,FALSE,"4WD"}</definedName>
    <definedName name="__IntlFixup" hidden="1">TRUE</definedName>
    <definedName name="__k10" localSheetId="0" hidden="1">{#N/A,#N/A,FALSE,"표지";#N/A,#N/A,FALSE,"전제";#N/A,#N/A,FALSE,"손익-자 (2)";#N/A,#N/A,FALSE,"손익-자";#N/A,#N/A,FALSE,"손익-마 (2)";#N/A,#N/A,FALSE,"손익-마";#N/A,#N/A,FALSE,"총손최종"}</definedName>
    <definedName name="__k10" hidden="1">{#N/A,#N/A,FALSE,"표지";#N/A,#N/A,FALSE,"전제";#N/A,#N/A,FALSE,"손익-자 (2)";#N/A,#N/A,FALSE,"손익-자";#N/A,#N/A,FALSE,"손익-마 (2)";#N/A,#N/A,FALSE,"손익-마";#N/A,#N/A,FALSE,"총손최종"}</definedName>
    <definedName name="__k11" localSheetId="0" hidden="1">{#N/A,#N/A,FALSE,"표지";#N/A,#N/A,FALSE,"을지1";#N/A,#N/A,FALSE,"일정1";#N/A,#N/A,FALSE,"일정2";#N/A,#N/A,FALSE,"11T-C";#N/A,#N/A,FALSE,"15T-D";#N/A,#N/A,FALSE,"판매현황";#N/A,#N/A,FALSE,"업무 FLOW"}</definedName>
    <definedName name="__k11" hidden="1">{#N/A,#N/A,FALSE,"표지";#N/A,#N/A,FALSE,"을지1";#N/A,#N/A,FALSE,"일정1";#N/A,#N/A,FALSE,"일정2";#N/A,#N/A,FALSE,"11T-C";#N/A,#N/A,FALSE,"15T-D";#N/A,#N/A,FALSE,"판매현황";#N/A,#N/A,FALSE,"업무 FLOW"}</definedName>
    <definedName name="__k12" localSheetId="0"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localSheetId="0" hidden="1">{#N/A,#N/A,FALSE,"표지";#N/A,#N/A,FALSE,"전제";#N/A,#N/A,FALSE,"손익-자 (2)";#N/A,#N/A,FALSE,"손익-자";#N/A,#N/A,FALSE,"손익-마 (2)";#N/A,#N/A,FALSE,"손익-마";#N/A,#N/A,FALSE,"총손최종"}</definedName>
    <definedName name="__k13" hidden="1">{#N/A,#N/A,FALSE,"표지";#N/A,#N/A,FALSE,"전제";#N/A,#N/A,FALSE,"손익-자 (2)";#N/A,#N/A,FALSE,"손익-자";#N/A,#N/A,FALSE,"손익-마 (2)";#N/A,#N/A,FALSE,"손익-마";#N/A,#N/A,FALSE,"총손최종"}</definedName>
    <definedName name="__k14" localSheetId="0"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localSheetId="0" hidden="1">{#N/A,#N/A,FALSE,"표지";#N/A,#N/A,FALSE,"을지1";#N/A,#N/A,FALSE,"일정1";#N/A,#N/A,FALSE,"일정2";#N/A,#N/A,FALSE,"11T-C";#N/A,#N/A,FALSE,"15T-D";#N/A,#N/A,FALSE,"판매현황";#N/A,#N/A,FALSE,"업무 FLOW"}</definedName>
    <definedName name="__k15" hidden="1">{#N/A,#N/A,FALSE,"표지";#N/A,#N/A,FALSE,"을지1";#N/A,#N/A,FALSE,"일정1";#N/A,#N/A,FALSE,"일정2";#N/A,#N/A,FALSE,"11T-C";#N/A,#N/A,FALSE,"15T-D";#N/A,#N/A,FALSE,"판매현황";#N/A,#N/A,FALSE,"업무 FLOW"}</definedName>
    <definedName name="__k16" localSheetId="0"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localSheetId="0" hidden="1">{#N/A,#N/A,FALSE,"표지";#N/A,#N/A,FALSE,"전제";#N/A,#N/A,FALSE,"손익-자 (2)";#N/A,#N/A,FALSE,"손익-자";#N/A,#N/A,FALSE,"손익-마 (2)";#N/A,#N/A,FALSE,"손익-마";#N/A,#N/A,FALSE,"총손최종"}</definedName>
    <definedName name="__k17" hidden="1">{#N/A,#N/A,FALSE,"표지";#N/A,#N/A,FALSE,"전제";#N/A,#N/A,FALSE,"손익-자 (2)";#N/A,#N/A,FALSE,"손익-자";#N/A,#N/A,FALSE,"손익-마 (2)";#N/A,#N/A,FALSE,"손익-마";#N/A,#N/A,FALSE,"총손최종"}</definedName>
    <definedName name="__k18" localSheetId="0"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localSheetId="0" hidden="1">{#N/A,#N/A,FALSE,"신규dep";#N/A,#N/A,FALSE,"신규dep-금형상각후";#N/A,#N/A,FALSE,"신규dep-연구비상각후";#N/A,#N/A,FALSE,"신규dep-기계,공구상각후"}</definedName>
    <definedName name="__k19" hidden="1">{#N/A,#N/A,FALSE,"신규dep";#N/A,#N/A,FALSE,"신규dep-금형상각후";#N/A,#N/A,FALSE,"신규dep-연구비상각후";#N/A,#N/A,FALSE,"신규dep-기계,공구상각후"}</definedName>
    <definedName name="__k2" localSheetId="0" hidden="1">{#N/A,#N/A,FALSE,"표지";#N/A,#N/A,FALSE,"을지1";#N/A,#N/A,FALSE,"일정1";#N/A,#N/A,FALSE,"일정2";#N/A,#N/A,FALSE,"11T-C";#N/A,#N/A,FALSE,"15T-D";#N/A,#N/A,FALSE,"판매현황";#N/A,#N/A,FALSE,"업무 FLOW"}</definedName>
    <definedName name="__k2" hidden="1">{#N/A,#N/A,FALSE,"표지";#N/A,#N/A,FALSE,"을지1";#N/A,#N/A,FALSE,"일정1";#N/A,#N/A,FALSE,"일정2";#N/A,#N/A,FALSE,"11T-C";#N/A,#N/A,FALSE,"15T-D";#N/A,#N/A,FALSE,"판매현황";#N/A,#N/A,FALSE,"업무 FLOW"}</definedName>
    <definedName name="__k20" localSheetId="0" hidden="1">{#N/A,#N/A,FALSE,"표지";#N/A,#N/A,FALSE,"전제";#N/A,#N/A,FALSE,"손익-자 (2)";#N/A,#N/A,FALSE,"손익-자";#N/A,#N/A,FALSE,"손익-마 (2)";#N/A,#N/A,FALSE,"손익-마";#N/A,#N/A,FALSE,"총손최종"}</definedName>
    <definedName name="__k20" hidden="1">{#N/A,#N/A,FALSE,"표지";#N/A,#N/A,FALSE,"전제";#N/A,#N/A,FALSE,"손익-자 (2)";#N/A,#N/A,FALSE,"손익-자";#N/A,#N/A,FALSE,"손익-마 (2)";#N/A,#N/A,FALSE,"손익-마";#N/A,#N/A,FALSE,"총손최종"}</definedName>
    <definedName name="__k21" localSheetId="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localSheetId="0" hidden="1">{#N/A,#N/A,FALSE,"표지";#N/A,#N/A,FALSE,"을지1";#N/A,#N/A,FALSE,"일정1";#N/A,#N/A,FALSE,"일정2";#N/A,#N/A,FALSE,"11T-C";#N/A,#N/A,FALSE,"15T-D";#N/A,#N/A,FALSE,"판매현황";#N/A,#N/A,FALSE,"업무 FLOW"}</definedName>
    <definedName name="__k22" hidden="1">{#N/A,#N/A,FALSE,"표지";#N/A,#N/A,FALSE,"을지1";#N/A,#N/A,FALSE,"일정1";#N/A,#N/A,FALSE,"일정2";#N/A,#N/A,FALSE,"11T-C";#N/A,#N/A,FALSE,"15T-D";#N/A,#N/A,FALSE,"판매현황";#N/A,#N/A,FALSE,"업무 FLOW"}</definedName>
    <definedName name="__k23" localSheetId="0" hidden="1">{#N/A,#N/A,FALSE,"표지";#N/A,#N/A,FALSE,"전제";#N/A,#N/A,FALSE,"손익-자 (2)";#N/A,#N/A,FALSE,"손익-자";#N/A,#N/A,FALSE,"손익-마 (2)";#N/A,#N/A,FALSE,"손익-마";#N/A,#N/A,FALSE,"총손최종"}</definedName>
    <definedName name="__k23" hidden="1">{#N/A,#N/A,FALSE,"표지";#N/A,#N/A,FALSE,"전제";#N/A,#N/A,FALSE,"손익-자 (2)";#N/A,#N/A,FALSE,"손익-자";#N/A,#N/A,FALSE,"손익-마 (2)";#N/A,#N/A,FALSE,"손익-마";#N/A,#N/A,FALSE,"총손최종"}</definedName>
    <definedName name="__k24" localSheetId="0"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localSheetId="0"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localSheetId="0"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localSheetId="0" hidden="1">{#N/A,#N/A,FALSE,"신규dep";#N/A,#N/A,FALSE,"신규dep-금형상각후";#N/A,#N/A,FALSE,"신규dep-연구비상각후";#N/A,#N/A,FALSE,"신규dep-기계,공구상각후"}</definedName>
    <definedName name="__k28" hidden="1">{#N/A,#N/A,FALSE,"신규dep";#N/A,#N/A,FALSE,"신규dep-금형상각후";#N/A,#N/A,FALSE,"신규dep-연구비상각후";#N/A,#N/A,FALSE,"신규dep-기계,공구상각후"}</definedName>
    <definedName name="__k29" localSheetId="0" hidden="1">{#N/A,#N/A,FALSE,"표지";#N/A,#N/A,FALSE,"을지1";#N/A,#N/A,FALSE,"일정1";#N/A,#N/A,FALSE,"일정2";#N/A,#N/A,FALSE,"11T-C";#N/A,#N/A,FALSE,"15T-D";#N/A,#N/A,FALSE,"판매현황";#N/A,#N/A,FALSE,"업무 FLOW"}</definedName>
    <definedName name="__k29" hidden="1">{#N/A,#N/A,FALSE,"표지";#N/A,#N/A,FALSE,"을지1";#N/A,#N/A,FALSE,"일정1";#N/A,#N/A,FALSE,"일정2";#N/A,#N/A,FALSE,"11T-C";#N/A,#N/A,FALSE,"15T-D";#N/A,#N/A,FALSE,"판매현황";#N/A,#N/A,FALSE,"업무 FLOW"}</definedName>
    <definedName name="__k30" localSheetId="0" hidden="1">{#N/A,#N/A,FALSE,"표지";#N/A,#N/A,FALSE,"전제";#N/A,#N/A,FALSE,"손익-자 (2)";#N/A,#N/A,FALSE,"손익-자";#N/A,#N/A,FALSE,"손익-마 (2)";#N/A,#N/A,FALSE,"손익-마";#N/A,#N/A,FALSE,"총손최종"}</definedName>
    <definedName name="__k30" hidden="1">{#N/A,#N/A,FALSE,"표지";#N/A,#N/A,FALSE,"전제";#N/A,#N/A,FALSE,"손익-자 (2)";#N/A,#N/A,FALSE,"손익-자";#N/A,#N/A,FALSE,"손익-마 (2)";#N/A,#N/A,FALSE,"손익-마";#N/A,#N/A,FALSE,"총손최종"}</definedName>
    <definedName name="__k7" localSheetId="0" hidden="1">{#N/A,#N/A,FALSE,"단축1";#N/A,#N/A,FALSE,"단축2";#N/A,#N/A,FALSE,"단축3";#N/A,#N/A,FALSE,"장축";#N/A,#N/A,FALSE,"4WD"}</definedName>
    <definedName name="__k7" hidden="1">{#N/A,#N/A,FALSE,"단축1";#N/A,#N/A,FALSE,"단축2";#N/A,#N/A,FALSE,"단축3";#N/A,#N/A,FALSE,"장축";#N/A,#N/A,FALSE,"4WD"}</definedName>
    <definedName name="__k8" localSheetId="0" hidden="1">{#N/A,#N/A,FALSE,"단축1";#N/A,#N/A,FALSE,"단축2";#N/A,#N/A,FALSE,"단축3";#N/A,#N/A,FALSE,"장축";#N/A,#N/A,FALSE,"4WD"}</definedName>
    <definedName name="__k8" hidden="1">{#N/A,#N/A,FALSE,"단축1";#N/A,#N/A,FALSE,"단축2";#N/A,#N/A,FALSE,"단축3";#N/A,#N/A,FALSE,"장축";#N/A,#N/A,FALSE,"4WD"}</definedName>
    <definedName name="__k9" localSheetId="0" hidden="1">{#N/A,#N/A,FALSE,"단축1";#N/A,#N/A,FALSE,"단축2";#N/A,#N/A,FALSE,"단축3";#N/A,#N/A,FALSE,"장축";#N/A,#N/A,FALSE,"4WD"}</definedName>
    <definedName name="__k9" hidden="1">{#N/A,#N/A,FALSE,"단축1";#N/A,#N/A,FALSE,"단축2";#N/A,#N/A,FALSE,"단축3";#N/A,#N/A,FALSE,"장축";#N/A,#N/A,FALSE,"4WD"}</definedName>
    <definedName name="__kk1" localSheetId="0" hidden="1">{#N/A,#N/A,FALSE,"표지";#N/A,#N/A,FALSE,"전제";#N/A,#N/A,FALSE,"손익-자 (2)";#N/A,#N/A,FALSE,"손익-자";#N/A,#N/A,FALSE,"손익-마 (2)";#N/A,#N/A,FALSE,"손익-마";#N/A,#N/A,FALSE,"총손최종"}</definedName>
    <definedName name="__kk1" hidden="1">{#N/A,#N/A,FALSE,"표지";#N/A,#N/A,FALSE,"전제";#N/A,#N/A,FALSE,"손익-자 (2)";#N/A,#N/A,FALSE,"손익-자";#N/A,#N/A,FALSE,"손익-마 (2)";#N/A,#N/A,FALSE,"손익-마";#N/A,#N/A,FALSE,"총손최종"}</definedName>
    <definedName name="__O11" localSheetId="0" hidden="1">{#N/A,#N/A,FALSE,"단축1";#N/A,#N/A,FALSE,"단축2";#N/A,#N/A,FALSE,"단축3";#N/A,#N/A,FALSE,"장축";#N/A,#N/A,FALSE,"4WD"}</definedName>
    <definedName name="__O11" hidden="1">{#N/A,#N/A,FALSE,"단축1";#N/A,#N/A,FALSE,"단축2";#N/A,#N/A,FALSE,"단축3";#N/A,#N/A,FALSE,"장축";#N/A,#N/A,FALSE,"4WD"}</definedName>
    <definedName name="__P2" localSheetId="0" hidden="1">{#N/A,#N/A,FALSE,"단축1";#N/A,#N/A,FALSE,"단축2";#N/A,#N/A,FALSE,"단축3";#N/A,#N/A,FALSE,"장축";#N/A,#N/A,FALSE,"4WD"}</definedName>
    <definedName name="__P2" hidden="1">{#N/A,#N/A,FALSE,"단축1";#N/A,#N/A,FALSE,"단축2";#N/A,#N/A,FALSE,"단축3";#N/A,#N/A,FALSE,"장축";#N/A,#N/A,FALSE,"4WD"}</definedName>
    <definedName name="__P3" localSheetId="0" hidden="1">{#N/A,#N/A,FALSE,"단축1";#N/A,#N/A,FALSE,"단축2";#N/A,#N/A,FALSE,"단축3";#N/A,#N/A,FALSE,"장축";#N/A,#N/A,FALSE,"4WD"}</definedName>
    <definedName name="__P3" hidden="1">{#N/A,#N/A,FALSE,"단축1";#N/A,#N/A,FALSE,"단축2";#N/A,#N/A,FALSE,"단축3";#N/A,#N/A,FALSE,"장축";#N/A,#N/A,FALSE,"4WD"}</definedName>
    <definedName name="__Q1" localSheetId="0" hidden="1">{#N/A,#N/A,FALSE,"KMC최종회의(7월) 자료"}</definedName>
    <definedName name="__Q1" hidden="1">{#N/A,#N/A,FALSE,"KMC최종회의(7월) 자료"}</definedName>
    <definedName name="__Q2" localSheetId="0" hidden="1">{#N/A,#N/A,FALSE,"KMC최종회의(7월) 자료"}</definedName>
    <definedName name="__Q2" hidden="1">{#N/A,#N/A,FALSE,"KMC최종회의(7월) 자료"}</definedName>
    <definedName name="__Q3" localSheetId="0" hidden="1">{#N/A,#N/A,FALSE,"KMC최종회의(7월) 자료"}</definedName>
    <definedName name="__Q3" hidden="1">{#N/A,#N/A,FALSE,"KMC최종회의(7월) 자료"}</definedName>
    <definedName name="__Q5" localSheetId="0" hidden="1">{#N/A,#N/A,FALSE,"KMC최종회의(7월) 자료"}</definedName>
    <definedName name="__Q5" hidden="1">{#N/A,#N/A,FALSE,"KMC최종회의(7월) 자료"}</definedName>
    <definedName name="__q6" localSheetId="0"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localSheetId="0" hidden="1">{#N/A,#N/A,FALSE,"KMC최종회의(7월) 자료"}</definedName>
    <definedName name="__Q7" hidden="1">{#N/A,#N/A,FALSE,"KMC최종회의(7월) 자료"}</definedName>
    <definedName name="__Q8" localSheetId="0" hidden="1">{#N/A,#N/A,FALSE,"KMC최종회의(7월) 자료"}</definedName>
    <definedName name="__Q8" hidden="1">{#N/A,#N/A,FALSE,"KMC최종회의(7월) 자료"}</definedName>
    <definedName name="__Q9" localSheetId="0" hidden="1">{#N/A,#N/A,FALSE,"KMC최종회의(7월) 자료"}</definedName>
    <definedName name="__Q9" hidden="1">{#N/A,#N/A,FALSE,"KMC최종회의(7월) 자료"}</definedName>
    <definedName name="__S1" localSheetId="0" hidden="1">{#N/A,#N/A,FALSE,"KMC최종회의(7월) 자료"}</definedName>
    <definedName name="__S1" hidden="1">{#N/A,#N/A,FALSE,"KMC최종회의(7월) 자료"}</definedName>
    <definedName name="__S2" localSheetId="0" hidden="1">{#N/A,#N/A,FALSE,"KMC최종회의(7월) 자료"}</definedName>
    <definedName name="__S2" hidden="1">{#N/A,#N/A,FALSE,"KMC최종회의(7월) 자료"}</definedName>
    <definedName name="__S3" localSheetId="0" hidden="1">{#N/A,#N/A,FALSE,"KMC최종회의(7월) 자료"}</definedName>
    <definedName name="__S3" hidden="1">{#N/A,#N/A,FALSE,"KMC최종회의(7월) 자료"}</definedName>
    <definedName name="__S4" localSheetId="0" hidden="1">{#N/A,#N/A,FALSE,"KMC최종회의(7월) 자료"}</definedName>
    <definedName name="__S4" hidden="1">{#N/A,#N/A,FALSE,"KMC최종회의(7월) 자료"}</definedName>
    <definedName name="__S5" localSheetId="0" hidden="1">{#N/A,#N/A,FALSE,"KMC최종회의(7월) 자료"}</definedName>
    <definedName name="__S5" hidden="1">{#N/A,#N/A,FALSE,"KMC최종회의(7월) 자료"}</definedName>
    <definedName name="__S6" localSheetId="0" hidden="1">{#N/A,#N/A,FALSE,"KMC최종회의(7월) 자료"}</definedName>
    <definedName name="__S6" hidden="1">{#N/A,#N/A,FALSE,"KMC최종회의(7월) 자료"}</definedName>
    <definedName name="__S7" localSheetId="0" hidden="1">{#N/A,#N/A,FALSE,"KMC최종회의(7월) 자료"}</definedName>
    <definedName name="__S7" hidden="1">{#N/A,#N/A,FALSE,"KMC최종회의(7월) 자료"}</definedName>
    <definedName name="__S8" localSheetId="0" hidden="1">{#N/A,#N/A,FALSE,"KMC최종회의(7월) 자료"}</definedName>
    <definedName name="__S8" hidden="1">{#N/A,#N/A,FALSE,"KMC최종회의(7월) 자료"}</definedName>
    <definedName name="__SUM1" localSheetId="0" hidden="1">{#N/A,#N/A,FALSE,"단축1";#N/A,#N/A,FALSE,"단축2";#N/A,#N/A,FALSE,"단축3";#N/A,#N/A,FALSE,"장축";#N/A,#N/A,FALSE,"4WD"}</definedName>
    <definedName name="__SUM1" hidden="1">{#N/A,#N/A,FALSE,"단축1";#N/A,#N/A,FALSE,"단축2";#N/A,#N/A,FALSE,"단축3";#N/A,#N/A,FALSE,"장축";#N/A,#N/A,FALSE,"4WD"}</definedName>
    <definedName name="__T2" localSheetId="0" hidden="1">{#N/A,#N/A,FALSE,"단축1";#N/A,#N/A,FALSE,"단축2";#N/A,#N/A,FALSE,"단축3";#N/A,#N/A,FALSE,"장축";#N/A,#N/A,FALSE,"4WD"}</definedName>
    <definedName name="__T2" hidden="1">{#N/A,#N/A,FALSE,"단축1";#N/A,#N/A,FALSE,"단축2";#N/A,#N/A,FALSE,"단축3";#N/A,#N/A,FALSE,"장축";#N/A,#N/A,FALSE,"4WD"}</definedName>
    <definedName name="__T3" localSheetId="0" hidden="1">{#N/A,#N/A,FALSE,"단축1";#N/A,#N/A,FALSE,"단축2";#N/A,#N/A,FALSE,"단축3";#N/A,#N/A,FALSE,"장축";#N/A,#N/A,FALSE,"4WD"}</definedName>
    <definedName name="__T3" hidden="1">{#N/A,#N/A,FALSE,"단축1";#N/A,#N/A,FALSE,"단축2";#N/A,#N/A,FALSE,"단축3";#N/A,#N/A,FALSE,"장축";#N/A,#N/A,FALSE,"4WD"}</definedName>
    <definedName name="__T5" localSheetId="0" hidden="1">{#N/A,#N/A,FALSE,"단축1";#N/A,#N/A,FALSE,"단축2";#N/A,#N/A,FALSE,"단축3";#N/A,#N/A,FALSE,"장축";#N/A,#N/A,FALSE,"4WD"}</definedName>
    <definedName name="__T5" hidden="1">{#N/A,#N/A,FALSE,"단축1";#N/A,#N/A,FALSE,"단축2";#N/A,#N/A,FALSE,"단축3";#N/A,#N/A,FALSE,"장축";#N/A,#N/A,FALSE,"4WD"}</definedName>
    <definedName name="__TRT11" localSheetId="0" hidden="1">{#N/A,#N/A,FALSE,"표지";#N/A,#N/A,FALSE,"전제";#N/A,#N/A,FALSE,"손익-자 (2)";#N/A,#N/A,FALSE,"손익-자";#N/A,#N/A,FALSE,"손익-마 (2)";#N/A,#N/A,FALSE,"손익-마";#N/A,#N/A,FALSE,"총손최종"}</definedName>
    <definedName name="__TRT11" hidden="1">{#N/A,#N/A,FALSE,"표지";#N/A,#N/A,FALSE,"전제";#N/A,#N/A,FALSE,"손익-자 (2)";#N/A,#N/A,FALSE,"손익-자";#N/A,#N/A,FALSE,"손익-마 (2)";#N/A,#N/A,FALSE,"손익-마";#N/A,#N/A,FALSE,"총손최종"}</definedName>
    <definedName name="__U1" localSheetId="0" hidden="1">{#N/A,#N/A,FALSE,"단축1";#N/A,#N/A,FALSE,"단축2";#N/A,#N/A,FALSE,"단축3";#N/A,#N/A,FALSE,"장축";#N/A,#N/A,FALSE,"4WD"}</definedName>
    <definedName name="__U1" hidden="1">{#N/A,#N/A,FALSE,"단축1";#N/A,#N/A,FALSE,"단축2";#N/A,#N/A,FALSE,"단축3";#N/A,#N/A,FALSE,"장축";#N/A,#N/A,FALSE,"4WD"}</definedName>
    <definedName name="__W1" localSheetId="0" hidden="1">{#N/A,#N/A,FALSE,"KMC최종회의(7월) 자료"}</definedName>
    <definedName name="__W1" hidden="1">{#N/A,#N/A,FALSE,"KMC최종회의(7월) 자료"}</definedName>
    <definedName name="__W2" localSheetId="0" hidden="1">{#N/A,#N/A,FALSE,"품의서";#N/A,#N/A,FALSE,"전제";#N/A,#N/A,FALSE,"총손";#N/A,#N/A,FALSE,"손익"}</definedName>
    <definedName name="__W2" hidden="1">{#N/A,#N/A,FALSE,"품의서";#N/A,#N/A,FALSE,"전제";#N/A,#N/A,FALSE,"총손";#N/A,#N/A,FALSE,"손익"}</definedName>
    <definedName name="__W3" localSheetId="0" hidden="1">{#N/A,#N/A,FALSE,"KMC최종회의(7월) 자료"}</definedName>
    <definedName name="__W3" hidden="1">{#N/A,#N/A,FALSE,"KMC최종회의(7월) 자료"}</definedName>
    <definedName name="__W4" localSheetId="0" hidden="1">{#N/A,#N/A,FALSE,"KMC최종회의(7월) 자료"}</definedName>
    <definedName name="__W4" hidden="1">{#N/A,#N/A,FALSE,"KMC최종회의(7월) 자료"}</definedName>
    <definedName name="__W5" localSheetId="0" hidden="1">{#N/A,#N/A,FALSE,"KMC최종회의(7월) 자료"}</definedName>
    <definedName name="__W5" hidden="1">{#N/A,#N/A,FALSE,"KMC최종회의(7월) 자료"}</definedName>
    <definedName name="__W6" localSheetId="0" hidden="1">{#N/A,#N/A,FALSE,"KMC최종회의(7월) 자료"}</definedName>
    <definedName name="__W6" hidden="1">{#N/A,#N/A,FALSE,"KMC최종회의(7월) 자료"}</definedName>
    <definedName name="__W7" localSheetId="0" hidden="1">{#N/A,#N/A,FALSE,"KMC최종회의(7월) 자료"}</definedName>
    <definedName name="__W7" hidden="1">{#N/A,#N/A,FALSE,"KMC최종회의(7월) 자료"}</definedName>
    <definedName name="__W8" localSheetId="0" hidden="1">{#N/A,#N/A,FALSE,"KMC최종회의(7월) 자료"}</definedName>
    <definedName name="__W8" hidden="1">{#N/A,#N/A,FALSE,"KMC최종회의(7월) 자료"}</definedName>
    <definedName name="__W9" localSheetId="0" hidden="1">{#N/A,#N/A,FALSE,"KMC최종회의(7월) 자료"}</definedName>
    <definedName name="__W9" hidden="1">{#N/A,#N/A,FALSE,"KMC최종회의(7월) 자료"}</definedName>
    <definedName name="__X1" localSheetId="0" hidden="1">{#N/A,#N/A,FALSE,"KMC최종회의(7월) 자료"}</definedName>
    <definedName name="__X1" hidden="1">{#N/A,#N/A,FALSE,"KMC최종회의(7월) 자료"}</definedName>
    <definedName name="__X2" localSheetId="0" hidden="1">{#N/A,#N/A,FALSE,"KMC최종회의(7월) 자료"}</definedName>
    <definedName name="__X2" hidden="1">{#N/A,#N/A,FALSE,"KMC최종회의(7월) 자료"}</definedName>
    <definedName name="__X3" localSheetId="0" hidden="1">{#N/A,#N/A,FALSE,"KMC최종회의(7월) 자료"}</definedName>
    <definedName name="__X3" hidden="1">{#N/A,#N/A,FALSE,"KMC최종회의(7월) 자료"}</definedName>
    <definedName name="__X4" localSheetId="0" hidden="1">{#N/A,#N/A,FALSE,"KMC최종회의(7월) 자료"}</definedName>
    <definedName name="__X4" hidden="1">{#N/A,#N/A,FALSE,"KMC최종회의(7월) 자료"}</definedName>
    <definedName name="__X5" localSheetId="0" hidden="1">{#N/A,#N/A,FALSE,"KMC최종회의(7월) 자료"}</definedName>
    <definedName name="__X5" hidden="1">{#N/A,#N/A,FALSE,"KMC최종회의(7월) 자료"}</definedName>
    <definedName name="__X6" localSheetId="0" hidden="1">{#N/A,#N/A,FALSE,"KMC최종회의(7월) 자료"}</definedName>
    <definedName name="__X6" hidden="1">{#N/A,#N/A,FALSE,"KMC최종회의(7월) 자료"}</definedName>
    <definedName name="__X7" localSheetId="0" hidden="1">{#N/A,#N/A,FALSE,"KMC최종회의(7월) 자료"}</definedName>
    <definedName name="__X7" hidden="1">{#N/A,#N/A,FALSE,"KMC최종회의(7월) 자료"}</definedName>
    <definedName name="__X8" localSheetId="0" hidden="1">{#N/A,#N/A,FALSE,"KMC최종회의(7월) 자료"}</definedName>
    <definedName name="__X8" hidden="1">{#N/A,#N/A,FALSE,"KMC최종회의(7월) 자료"}</definedName>
    <definedName name="__Z1" localSheetId="0" hidden="1">{#N/A,#N/A,FALSE,"KMC최종회의(7월) 자료"}</definedName>
    <definedName name="__Z1" hidden="1">{#N/A,#N/A,FALSE,"KMC최종회의(7월) 자료"}</definedName>
    <definedName name="__Z2" localSheetId="0" hidden="1">{#N/A,#N/A,FALSE,"KMC최종회의(7월) 자료"}</definedName>
    <definedName name="__Z2" hidden="1">{#N/A,#N/A,FALSE,"KMC최종회의(7월) 자료"}</definedName>
    <definedName name="__Z3" localSheetId="0" hidden="1">{#N/A,#N/A,FALSE,"KMC최종회의(7월) 자료"}</definedName>
    <definedName name="__Z3" hidden="1">{#N/A,#N/A,FALSE,"KMC최종회의(7월) 자료"}</definedName>
    <definedName name="__Z4" localSheetId="0" hidden="1">{#N/A,#N/A,FALSE,"KMC최종회의(7월) 자료"}</definedName>
    <definedName name="__Z4" hidden="1">{#N/A,#N/A,FALSE,"KMC최종회의(7월) 자료"}</definedName>
    <definedName name="__Z5" localSheetId="0" hidden="1">{#N/A,#N/A,FALSE,"KMC최종회의(7월) 자료"}</definedName>
    <definedName name="__Z5" hidden="1">{#N/A,#N/A,FALSE,"KMC최종회의(7월) 자료"}</definedName>
    <definedName name="__Z6" localSheetId="0" hidden="1">{#N/A,#N/A,FALSE,"KMC최종회의(7월) 자료"}</definedName>
    <definedName name="__Z6" hidden="1">{#N/A,#N/A,FALSE,"KMC최종회의(7월) 자료"}</definedName>
    <definedName name="__Z7" localSheetId="0" hidden="1">{#N/A,#N/A,FALSE,"KMC최종회의(7월) 자료"}</definedName>
    <definedName name="__Z7" hidden="1">{#N/A,#N/A,FALSE,"KMC최종회의(7월) 자료"}</definedName>
    <definedName name="__Z8" localSheetId="0" hidden="1">{#N/A,#N/A,FALSE,"KMC최종회의(7월) 자료"}</definedName>
    <definedName name="__Z8" hidden="1">{#N/A,#N/A,FALSE,"KMC최종회의(7월) 자료"}</definedName>
    <definedName name="__Z9" localSheetId="0" hidden="1">{#N/A,#N/A,FALSE,"KMC최종회의(7월) 자료"}</definedName>
    <definedName name="__Z9" hidden="1">{#N/A,#N/A,FALSE,"KMC최종회의(7월) 자료"}</definedName>
    <definedName name="_1T2_" localSheetId="0" hidden="1">{#N/A,#N/A,FALSE,"단축1";#N/A,#N/A,FALSE,"단축2";#N/A,#N/A,FALSE,"단축3";#N/A,#N/A,FALSE,"장축";#N/A,#N/A,FALSE,"4WD"}</definedName>
    <definedName name="_1T2_" hidden="1">{#N/A,#N/A,FALSE,"단축1";#N/A,#N/A,FALSE,"단축2";#N/A,#N/A,FALSE,"단축3";#N/A,#N/A,FALSE,"장축";#N/A,#N/A,FALSE,"4WD"}</definedName>
    <definedName name="_248DR1_" localSheetId="0" hidden="1">{#N/A,#N/A,FALSE,"업체선정";#N/A,#N/A,FALSE,"업체선정sheet";#N/A,#N/A,FALSE,"업체실태";#N/A,#N/A,FALSE,"업체실태(1)";#N/A,#N/A,FALSE,"종업원현황(2)";#N/A,#N/A,FALSE,"생산품목(3)";#N/A,#N/A,FALSE,"장비보유현황";#N/A,#N/A,FALSE,"차량및약도";#N/A,#N/A,FALSE,"금형LIST"}</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83DR1_" localSheetId="0" hidden="1">{#N/A,#N/A,FALSE,"업체선정";#N/A,#N/A,FALSE,"업체선정sheet";#N/A,#N/A,FALSE,"업체실태";#N/A,#N/A,FALSE,"업체실태(1)";#N/A,#N/A,FALSE,"종업원현황(2)";#N/A,#N/A,FALSE,"생산품목(3)";#N/A,#N/A,FALSE,"장비보유현황";#N/A,#N/A,FALSE,"차량및약도";#N/A,#N/A,FALSE,"금형LIST"}</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3____S" hidden="1">#REF!</definedName>
    <definedName name="_307DR1_" localSheetId="0" hidden="1">{#N/A,#N/A,FALSE,"업체선정";#N/A,#N/A,FALSE,"업체선정sheet";#N/A,#N/A,FALSE,"업체실태";#N/A,#N/A,FALSE,"업체실태(1)";#N/A,#N/A,FALSE,"종업원현황(2)";#N/A,#N/A,FALSE,"생산품목(3)";#N/A,#N/A,FALSE,"장비보유현황";#N/A,#N/A,FALSE,"차량및약도";#N/A,#N/A,FALSE,"금형LIST"}</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64DR1_" localSheetId="0" hidden="1">{#N/A,#N/A,FALSE,"업체선정";#N/A,#N/A,FALSE,"업체선정sheet";#N/A,#N/A,FALSE,"업체실태";#N/A,#N/A,FALSE,"업체실태(1)";#N/A,#N/A,FALSE,"종업원현황(2)";#N/A,#N/A,FALSE,"생산품목(3)";#N/A,#N/A,FALSE,"장비보유현황";#N/A,#N/A,FALSE,"차량및약도";#N/A,#N/A,FALSE,"금형LIST"}</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localSheetId="0" hidden="1">{#N/A,#N/A,FALSE,"단축1";#N/A,#N/A,FALSE,"단축2";#N/A,#N/A,FALSE,"단축3";#N/A,#N/A,FALSE,"장축";#N/A,#N/A,FALSE,"4WD"}</definedName>
    <definedName name="_3T2_" hidden="1">{#N/A,#N/A,FALSE,"단축1";#N/A,#N/A,FALSE,"단축2";#N/A,#N/A,FALSE,"단축3";#N/A,#N/A,FALSE,"장축";#N/A,#N/A,FALSE,"4WD"}</definedName>
    <definedName name="_4W2_" localSheetId="0" hidden="1">{#N/A,#N/A,FALSE,"품의서";#N/A,#N/A,FALSE,"전제";#N/A,#N/A,FALSE,"총손";#N/A,#N/A,FALSE,"손익"}</definedName>
    <definedName name="_4W2_" hidden="1">{#N/A,#N/A,FALSE,"품의서";#N/A,#N/A,FALSE,"전제";#N/A,#N/A,FALSE,"총손";#N/A,#N/A,FALSE,"손익"}</definedName>
    <definedName name="_5__0_S" hidden="1">#REF!</definedName>
    <definedName name="_79DR1_" localSheetId="0" hidden="1">{#N/A,#N/A,FALSE,"업체선정";#N/A,#N/A,FALSE,"업체선정sheet";#N/A,#N/A,FALSE,"업체실태";#N/A,#N/A,FALSE,"업체실태(1)";#N/A,#N/A,FALSE,"종업원현황(2)";#N/A,#N/A,FALSE,"생산품목(3)";#N/A,#N/A,FALSE,"장비보유현황";#N/A,#N/A,FALSE,"차량및약도";#N/A,#N/A,FALSE,"금형LIST"}</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localSheetId="0" hidden="1">{#N/A,#N/A,FALSE,"신규dep";#N/A,#N/A,FALSE,"신규dep-금형상각후";#N/A,#N/A,FALSE,"신규dep-연구비상각후";#N/A,#N/A,FALSE,"신규dep-기계,공구상각후"}</definedName>
    <definedName name="_A1" hidden="1">{#N/A,#N/A,FALSE,"신규dep";#N/A,#N/A,FALSE,"신규dep-금형상각후";#N/A,#N/A,FALSE,"신규dep-연구비상각후";#N/A,#N/A,FALSE,"신규dep-기계,공구상각후"}</definedName>
    <definedName name="_A2" localSheetId="0" hidden="1">{#N/A,#N/A,FALSE,"신규dep";#N/A,#N/A,FALSE,"신규dep-금형상각후";#N/A,#N/A,FALSE,"신규dep-연구비상각후";#N/A,#N/A,FALSE,"신규dep-기계,공구상각후"}</definedName>
    <definedName name="_A2" hidden="1">{#N/A,#N/A,FALSE,"신규dep";#N/A,#N/A,FALSE,"신규dep-금형상각후";#N/A,#N/A,FALSE,"신규dep-연구비상각후";#N/A,#N/A,FALSE,"신규dep-기계,공구상각후"}</definedName>
    <definedName name="_A3" localSheetId="0" hidden="1">{#N/A,#N/A,FALSE,"단축1";#N/A,#N/A,FALSE,"단축2";#N/A,#N/A,FALSE,"단축3";#N/A,#N/A,FALSE,"장축";#N/A,#N/A,FALSE,"4WD"}</definedName>
    <definedName name="_A3" hidden="1">{#N/A,#N/A,FALSE,"단축1";#N/A,#N/A,FALSE,"단축2";#N/A,#N/A,FALSE,"단축3";#N/A,#N/A,FALSE,"장축";#N/A,#N/A,FALSE,"4WD"}</definedName>
    <definedName name="_AA4" localSheetId="0"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BQ4.1" hidden="1">#REF!</definedName>
    <definedName name="_BQ4.2" hidden="1">#REF!</definedName>
    <definedName name="_BQ4.3" hidden="1">#REF!</definedName>
    <definedName name="_d1" localSheetId="0" hidden="1">{#N/A,#N/A,FALSE,"신규dep";#N/A,#N/A,FALSE,"신규dep-금형상각후";#N/A,#N/A,FALSE,"신규dep-연구비상각후";#N/A,#N/A,FALSE,"신규dep-기계,공구상각후"}</definedName>
    <definedName name="_d1" hidden="1">{#N/A,#N/A,FALSE,"신규dep";#N/A,#N/A,FALSE,"신규dep-금형상각후";#N/A,#N/A,FALSE,"신규dep-연구비상각후";#N/A,#N/A,FALSE,"신규dep-기계,공구상각후"}</definedName>
    <definedName name="_d2" localSheetId="0"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localSheetId="0" hidden="1">{#N/A,#N/A,FALSE,"단축1";#N/A,#N/A,FALSE,"단축2";#N/A,#N/A,FALSE,"단축3";#N/A,#N/A,FALSE,"장축";#N/A,#N/A,FALSE,"4WD"}</definedName>
    <definedName name="_D20" hidden="1">{#N/A,#N/A,FALSE,"단축1";#N/A,#N/A,FALSE,"단축2";#N/A,#N/A,FALSE,"단축3";#N/A,#N/A,FALSE,"장축";#N/A,#N/A,FALSE,"4WD"}</definedName>
    <definedName name="_d3" localSheetId="0" hidden="1">{#N/A,#N/A,FALSE,"신규dep";#N/A,#N/A,FALSE,"신규dep-금형상각후";#N/A,#N/A,FALSE,"신규dep-연구비상각후";#N/A,#N/A,FALSE,"신규dep-기계,공구상각후"}</definedName>
    <definedName name="_d3" hidden="1">{#N/A,#N/A,FALSE,"신규dep";#N/A,#N/A,FALSE,"신규dep-금형상각후";#N/A,#N/A,FALSE,"신규dep-연구비상각후";#N/A,#N/A,FALSE,"신규dep-기계,공구상각후"}</definedName>
    <definedName name="_DR1" localSheetId="0" hidden="1">{#N/A,#N/A,FALSE,"업체선정";#N/A,#N/A,FALSE,"업체선정sheet";#N/A,#N/A,FALSE,"업체실태";#N/A,#N/A,FALSE,"업체실태(1)";#N/A,#N/A,FALSE,"종업원현황(2)";#N/A,#N/A,FALSE,"생산품목(3)";#N/A,#N/A,FALSE,"장비보유현황";#N/A,#N/A,FALSE,"차량및약도";#N/A,#N/A,FALSE,"금형LIST"}</definedName>
    <definedName name="_DR1" hidden="1">{#N/A,#N/A,FALSE,"업체선정";#N/A,#N/A,FALSE,"업체선정sheet";#N/A,#N/A,FALSE,"업체실태";#N/A,#N/A,FALSE,"업체실태(1)";#N/A,#N/A,FALSE,"종업원현황(2)";#N/A,#N/A,FALSE,"생산품목(3)";#N/A,#N/A,FALSE,"장비보유현황";#N/A,#N/A,FALSE,"차량및약도";#N/A,#N/A,FALSE,"금형LIST"}</definedName>
    <definedName name="_e1" localSheetId="0" hidden="1">{#N/A,#N/A,FALSE,"단축1";#N/A,#N/A,FALSE,"단축2";#N/A,#N/A,FALSE,"단축3";#N/A,#N/A,FALSE,"장축";#N/A,#N/A,FALSE,"4WD"}</definedName>
    <definedName name="_e1" hidden="1">{#N/A,#N/A,FALSE,"단축1";#N/A,#N/A,FALSE,"단축2";#N/A,#N/A,FALSE,"단축3";#N/A,#N/A,FALSE,"장축";#N/A,#N/A,FALSE,"4WD"}</definedName>
    <definedName name="_e2" localSheetId="0" hidden="1">{#N/A,#N/A,FALSE,"단축1";#N/A,#N/A,FALSE,"단축2";#N/A,#N/A,FALSE,"단축3";#N/A,#N/A,FALSE,"장축";#N/A,#N/A,FALSE,"4WD"}</definedName>
    <definedName name="_e2" hidden="1">{#N/A,#N/A,FALSE,"단축1";#N/A,#N/A,FALSE,"단축2";#N/A,#N/A,FALSE,"단축3";#N/A,#N/A,FALSE,"장축";#N/A,#N/A,FALSE,"4WD"}</definedName>
    <definedName name="_e3" localSheetId="0" hidden="1">{#N/A,#N/A,FALSE,"단축1";#N/A,#N/A,FALSE,"단축2";#N/A,#N/A,FALSE,"단축3";#N/A,#N/A,FALSE,"장축";#N/A,#N/A,FALSE,"4WD"}</definedName>
    <definedName name="_e3" hidden="1">{#N/A,#N/A,FALSE,"단축1";#N/A,#N/A,FALSE,"단축2";#N/A,#N/A,FALSE,"단축3";#N/A,#N/A,FALSE,"장축";#N/A,#N/A,FALSE,"4WD"}</definedName>
    <definedName name="_e4" localSheetId="0" hidden="1">{#N/A,#N/A,FALSE,"단축1";#N/A,#N/A,FALSE,"단축2";#N/A,#N/A,FALSE,"단축3";#N/A,#N/A,FALSE,"장축";#N/A,#N/A,FALSE,"4WD"}</definedName>
    <definedName name="_e4" hidden="1">{#N/A,#N/A,FALSE,"단축1";#N/A,#N/A,FALSE,"단축2";#N/A,#N/A,FALSE,"단축3";#N/A,#N/A,FALSE,"장축";#N/A,#N/A,FALSE,"4WD"}</definedName>
    <definedName name="_e5" localSheetId="0" hidden="1">{#N/A,#N/A,FALSE,"단축1";#N/A,#N/A,FALSE,"단축2";#N/A,#N/A,FALSE,"단축3";#N/A,#N/A,FALSE,"장축";#N/A,#N/A,FALSE,"4WD"}</definedName>
    <definedName name="_e5" hidden="1">{#N/A,#N/A,FALSE,"단축1";#N/A,#N/A,FALSE,"단축2";#N/A,#N/A,FALSE,"단축3";#N/A,#N/A,FALSE,"장축";#N/A,#N/A,FALSE,"4WD"}</definedName>
    <definedName name="_e6" localSheetId="0" hidden="1">{#N/A,#N/A,FALSE,"단축1";#N/A,#N/A,FALSE,"단축2";#N/A,#N/A,FALSE,"단축3";#N/A,#N/A,FALSE,"장축";#N/A,#N/A,FALSE,"4WD"}</definedName>
    <definedName name="_e6" hidden="1">{#N/A,#N/A,FALSE,"단축1";#N/A,#N/A,FALSE,"단축2";#N/A,#N/A,FALSE,"단축3";#N/A,#N/A,FALSE,"장축";#N/A,#N/A,FALSE,"4WD"}</definedName>
    <definedName name="_e7" localSheetId="0" hidden="1">{#N/A,#N/A,FALSE,"신규dep";#N/A,#N/A,FALSE,"신규dep-금형상각후";#N/A,#N/A,FALSE,"신규dep-연구비상각후";#N/A,#N/A,FALSE,"신규dep-기계,공구상각후"}</definedName>
    <definedName name="_e7" hidden="1">{#N/A,#N/A,FALSE,"신규dep";#N/A,#N/A,FALSE,"신규dep-금형상각후";#N/A,#N/A,FALSE,"신규dep-연구비상각후";#N/A,#N/A,FALSE,"신규dep-기계,공구상각후"}</definedName>
    <definedName name="_e8" localSheetId="0"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localSheetId="0" hidden="1">{#N/A,#N/A,FALSE,"단축1";#N/A,#N/A,FALSE,"단축2";#N/A,#N/A,FALSE,"단축3";#N/A,#N/A,FALSE,"장축";#N/A,#N/A,FALSE,"4WD"}</definedName>
    <definedName name="_e9" hidden="1">{#N/A,#N/A,FALSE,"단축1";#N/A,#N/A,FALSE,"단축2";#N/A,#N/A,FALSE,"단축3";#N/A,#N/A,FALSE,"장축";#N/A,#N/A,FALSE,"4WD"}</definedName>
    <definedName name="_ERT1" localSheetId="0" hidden="1">{#N/A,#N/A,FALSE,"단축1";#N/A,#N/A,FALSE,"단축2";#N/A,#N/A,FALSE,"단축3";#N/A,#N/A,FALSE,"장축";#N/A,#N/A,FALSE,"4WD"}</definedName>
    <definedName name="_ERT1" hidden="1">{#N/A,#N/A,FALSE,"단축1";#N/A,#N/A,FALSE,"단축2";#N/A,#N/A,FALSE,"단축3";#N/A,#N/A,FALSE,"장축";#N/A,#N/A,FALSE,"4WD"}</definedName>
    <definedName name="_Fill" hidden="1">#REF!</definedName>
    <definedName name="_xlnm._FilterDatabase" localSheetId="0" hidden="1">'Scope 1'!$B$5:$AX$79</definedName>
    <definedName name="_xlnm._FilterDatabase" hidden="1">#REF!</definedName>
    <definedName name="_k1" hidden="1">#REF!</definedName>
    <definedName name="_Key1" hidden="1">#REF!</definedName>
    <definedName name="_Key2" hidden="1">#REF!</definedName>
    <definedName name="_kv6" localSheetId="0" hidden="1">{#N/A,#N/A,FALSE,"단축1";#N/A,#N/A,FALSE,"단축2";#N/A,#N/A,FALSE,"단축3";#N/A,#N/A,FALSE,"장축";#N/A,#N/A,FALSE,"4WD"}</definedName>
    <definedName name="_kv6" hidden="1">{#N/A,#N/A,FALSE,"단축1";#N/A,#N/A,FALSE,"단축2";#N/A,#N/A,FALSE,"단축3";#N/A,#N/A,FALSE,"장축";#N/A,#N/A,FALSE,"4WD"}</definedName>
    <definedName name="_Order1" hidden="1">255</definedName>
    <definedName name="_Order2" hidden="1">255</definedName>
    <definedName name="_Parse_Out" hidden="1">#REF!</definedName>
    <definedName name="_q1" localSheetId="0" hidden="1">{#N/A,#N/A,FALSE,"단축1";#N/A,#N/A,FALSE,"단축2";#N/A,#N/A,FALSE,"단축3";#N/A,#N/A,FALSE,"장축";#N/A,#N/A,FALSE,"4WD"}</definedName>
    <definedName name="_q1" hidden="1">{#N/A,#N/A,FALSE,"단축1";#N/A,#N/A,FALSE,"단축2";#N/A,#N/A,FALSE,"단축3";#N/A,#N/A,FALSE,"장축";#N/A,#N/A,FALSE,"4WD"}</definedName>
    <definedName name="_q3" localSheetId="0" hidden="1">{#N/A,#N/A,FALSE,"단축1";#N/A,#N/A,FALSE,"단축2";#N/A,#N/A,FALSE,"단축3";#N/A,#N/A,FALSE,"장축";#N/A,#N/A,FALSE,"4WD"}</definedName>
    <definedName name="_q3" hidden="1">{#N/A,#N/A,FALSE,"단축1";#N/A,#N/A,FALSE,"단축2";#N/A,#N/A,FALSE,"단축3";#N/A,#N/A,FALSE,"장축";#N/A,#N/A,FALSE,"4WD"}</definedName>
    <definedName name="_q5" localSheetId="0" hidden="1">{#N/A,#N/A,FALSE,"신규dep";#N/A,#N/A,FALSE,"신규dep-금형상각후";#N/A,#N/A,FALSE,"신규dep-연구비상각후";#N/A,#N/A,FALSE,"신규dep-기계,공구상각후"}</definedName>
    <definedName name="_q5" hidden="1">{#N/A,#N/A,FALSE,"신규dep";#N/A,#N/A,FALSE,"신규dep-금형상각후";#N/A,#N/A,FALSE,"신규dep-연구비상각후";#N/A,#N/A,FALSE,"신규dep-기계,공구상각후"}</definedName>
    <definedName name="_q6" localSheetId="0"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localSheetId="0"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localSheetId="0"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localSheetId="0"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localSheetId="0"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localSheetId="0" hidden="1">{#N/A,#N/A,FALSE,"단축1";#N/A,#N/A,FALSE,"단축2";#N/A,#N/A,FALSE,"단축3";#N/A,#N/A,FALSE,"장축";#N/A,#N/A,FALSE,"4WD"}</definedName>
    <definedName name="_s3" hidden="1">{#N/A,#N/A,FALSE,"단축1";#N/A,#N/A,FALSE,"단축2";#N/A,#N/A,FALSE,"단축3";#N/A,#N/A,FALSE,"장축";#N/A,#N/A,FALSE,"4WD"}</definedName>
    <definedName name="_s4" localSheetId="0" hidden="1">{#N/A,#N/A,FALSE,"단축1";#N/A,#N/A,FALSE,"단축2";#N/A,#N/A,FALSE,"단축3";#N/A,#N/A,FALSE,"장축";#N/A,#N/A,FALSE,"4WD"}</definedName>
    <definedName name="_s4" hidden="1">{#N/A,#N/A,FALSE,"단축1";#N/A,#N/A,FALSE,"단축2";#N/A,#N/A,FALSE,"단축3";#N/A,#N/A,FALSE,"장축";#N/A,#N/A,FALSE,"4WD"}</definedName>
    <definedName name="_s5" localSheetId="0" hidden="1">{#N/A,#N/A,FALSE,"신규dep";#N/A,#N/A,FALSE,"신규dep-금형상각후";#N/A,#N/A,FALSE,"신규dep-연구비상각후";#N/A,#N/A,FALSE,"신규dep-기계,공구상각후"}</definedName>
    <definedName name="_s5" hidden="1">{#N/A,#N/A,FALSE,"신규dep";#N/A,#N/A,FALSE,"신규dep-금형상각후";#N/A,#N/A,FALSE,"신규dep-연구비상각후";#N/A,#N/A,FALSE,"신규dep-기계,공구상각후"}</definedName>
    <definedName name="_s6" localSheetId="0"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localSheetId="0"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localSheetId="0"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localSheetId="0"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localSheetId="0" hidden="1">{#N/A,#N/A,FALSE,"단축1";#N/A,#N/A,FALSE,"단축2";#N/A,#N/A,FALSE,"단축3";#N/A,#N/A,FALSE,"장축";#N/A,#N/A,FALSE,"4WD"}</definedName>
    <definedName name="_SUM1" hidden="1">{#N/A,#N/A,FALSE,"단축1";#N/A,#N/A,FALSE,"단축2";#N/A,#N/A,FALSE,"단축3";#N/A,#N/A,FALSE,"장축";#N/A,#N/A,FALSE,"4WD"}</definedName>
    <definedName name="_T2" localSheetId="0" hidden="1">{#N/A,#N/A,FALSE,"단축1";#N/A,#N/A,FALSE,"단축2";#N/A,#N/A,FALSE,"단축3";#N/A,#N/A,FALSE,"장축";#N/A,#N/A,FALSE,"4WD"}</definedName>
    <definedName name="_T2" hidden="1">{#N/A,#N/A,FALSE,"단축1";#N/A,#N/A,FALSE,"단축2";#N/A,#N/A,FALSE,"단축3";#N/A,#N/A,FALSE,"장축";#N/A,#N/A,FALSE,"4WD"}</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w1" localSheetId="0" hidden="1">{#N/A,#N/A,FALSE,"신규dep";#N/A,#N/A,FALSE,"신규dep-금형상각후";#N/A,#N/A,FALSE,"신규dep-연구비상각후";#N/A,#N/A,FALSE,"신규dep-기계,공구상각후"}</definedName>
    <definedName name="_w1" hidden="1">{#N/A,#N/A,FALSE,"신규dep";#N/A,#N/A,FALSE,"신규dep-금형상각후";#N/A,#N/A,FALSE,"신규dep-연구비상각후";#N/A,#N/A,FALSE,"신규dep-기계,공구상각후"}</definedName>
    <definedName name="_W2" localSheetId="0" hidden="1">{#N/A,#N/A,FALSE,"품의서";#N/A,#N/A,FALSE,"전제";#N/A,#N/A,FALSE,"총손";#N/A,#N/A,FALSE,"손익"}</definedName>
    <definedName name="_W2" hidden="1">{#N/A,#N/A,FALSE,"품의서";#N/A,#N/A,FALSE,"전제";#N/A,#N/A,FALSE,"총손";#N/A,#N/A,FALSE,"손익"}</definedName>
    <definedName name="_w3" localSheetId="0" hidden="1">{#N/A,#N/A,FALSE,"신규dep";#N/A,#N/A,FALSE,"신규dep-금형상각후";#N/A,#N/A,FALSE,"신규dep-연구비상각후";#N/A,#N/A,FALSE,"신규dep-기계,공구상각후"}</definedName>
    <definedName name="_w3" hidden="1">{#N/A,#N/A,FALSE,"신규dep";#N/A,#N/A,FALSE,"신규dep-금형상각후";#N/A,#N/A,FALSE,"신규dep-연구비상각후";#N/A,#N/A,FALSE,"신규dep-기계,공구상각후"}</definedName>
    <definedName name="_w4" localSheetId="0" hidden="1">{#N/A,#N/A,FALSE,"단축1";#N/A,#N/A,FALSE,"단축2";#N/A,#N/A,FALSE,"단축3";#N/A,#N/A,FALSE,"장축";#N/A,#N/A,FALSE,"4WD"}</definedName>
    <definedName name="_w4" hidden="1">{#N/A,#N/A,FALSE,"단축1";#N/A,#N/A,FALSE,"단축2";#N/A,#N/A,FALSE,"단축3";#N/A,#N/A,FALSE,"장축";#N/A,#N/A,FALSE,"4WD"}</definedName>
    <definedName name="_w5" localSheetId="0" hidden="1">{#N/A,#N/A,FALSE,"신규dep";#N/A,#N/A,FALSE,"신규dep-금형상각후";#N/A,#N/A,FALSE,"신규dep-연구비상각후";#N/A,#N/A,FALSE,"신규dep-기계,공구상각후"}</definedName>
    <definedName name="_w5" hidden="1">{#N/A,#N/A,FALSE,"신규dep";#N/A,#N/A,FALSE,"신규dep-금형상각후";#N/A,#N/A,FALSE,"신규dep-연구비상각후";#N/A,#N/A,FALSE,"신규dep-기계,공구상각후"}</definedName>
    <definedName name="_z1" localSheetId="0" hidden="1">{#N/A,#N/A,FALSE,"단축1";#N/A,#N/A,FALSE,"단축2";#N/A,#N/A,FALSE,"단축3";#N/A,#N/A,FALSE,"장축";#N/A,#N/A,FALSE,"4WD"}</definedName>
    <definedName name="_z1" hidden="1">{#N/A,#N/A,FALSE,"단축1";#N/A,#N/A,FALSE,"단축2";#N/A,#N/A,FALSE,"단축3";#N/A,#N/A,FALSE,"장축";#N/A,#N/A,FALSE,"4WD"}</definedName>
    <definedName name="_z2" localSheetId="0" hidden="1">{#N/A,#N/A,FALSE,"단축1";#N/A,#N/A,FALSE,"단축2";#N/A,#N/A,FALSE,"단축3";#N/A,#N/A,FALSE,"장축";#N/A,#N/A,FALSE,"4WD"}</definedName>
    <definedName name="_z2" hidden="1">{#N/A,#N/A,FALSE,"단축1";#N/A,#N/A,FALSE,"단축2";#N/A,#N/A,FALSE,"단축3";#N/A,#N/A,FALSE,"장축";#N/A,#N/A,FALSE,"4WD"}</definedName>
    <definedName name="_z4" localSheetId="0" hidden="1">{#N/A,#N/A,FALSE,"단축1";#N/A,#N/A,FALSE,"단축2";#N/A,#N/A,FALSE,"단축3";#N/A,#N/A,FALSE,"장축";#N/A,#N/A,FALSE,"4WD"}</definedName>
    <definedName name="_z4" hidden="1">{#N/A,#N/A,FALSE,"단축1";#N/A,#N/A,FALSE,"단축2";#N/A,#N/A,FALSE,"단축3";#N/A,#N/A,FALSE,"장축";#N/A,#N/A,FALSE,"4WD"}</definedName>
    <definedName name="a" hidden="1">#REF!</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5d" localSheetId="0" hidden="1">{#N/A,#N/A,FALSE,"단축1";#N/A,#N/A,FALSE,"단축2";#N/A,#N/A,FALSE,"단축3";#N/A,#N/A,FALSE,"장축";#N/A,#N/A,FALSE,"4WD"}</definedName>
    <definedName name="a5d" hidden="1">{#N/A,#N/A,FALSE,"단축1";#N/A,#N/A,FALSE,"단축2";#N/A,#N/A,FALSE,"단축3";#N/A,#N/A,FALSE,"장축";#N/A,#N/A,FALSE,"4WD"}</definedName>
    <definedName name="aa" localSheetId="0" hidden="1">{#N/A,#N/A,FALSE,"단축1";#N/A,#N/A,FALSE,"단축2";#N/A,#N/A,FALSE,"단축3";#N/A,#N/A,FALSE,"장축";#N/A,#N/A,FALSE,"4WD"}</definedName>
    <definedName name="aa" hidden="1">{#N/A,#N/A,FALSE,"단축1";#N/A,#N/A,FALSE,"단축2";#N/A,#N/A,FALSE,"단축3";#N/A,#N/A,FALSE,"장축";#N/A,#N/A,FALSE,"4WD"}</definedName>
    <definedName name="aaaa" localSheetId="0" hidden="1">{#N/A,#N/A,FALSE,"단축1";#N/A,#N/A,FALSE,"단축2";#N/A,#N/A,FALSE,"단축3";#N/A,#N/A,FALSE,"장축";#N/A,#N/A,FALSE,"4WD"}</definedName>
    <definedName name="aaaa" hidden="1">{#N/A,#N/A,FALSE,"단축1";#N/A,#N/A,FALSE,"단축2";#N/A,#N/A,FALSE,"단축3";#N/A,#N/A,FALSE,"장축";#N/A,#N/A,FALSE,"4WD"}</definedName>
    <definedName name="AAAAA" localSheetId="0" hidden="1">{#N/A,#N/A,FALSE,"단축1";#N/A,#N/A,FALSE,"단축2";#N/A,#N/A,FALSE,"단축3";#N/A,#N/A,FALSE,"장축";#N/A,#N/A,FALSE,"4WD"}</definedName>
    <definedName name="AAAAA" hidden="1">{#N/A,#N/A,FALSE,"단축1";#N/A,#N/A,FALSE,"단축2";#N/A,#N/A,FALSE,"단축3";#N/A,#N/A,FALSE,"장축";#N/A,#N/A,FALSE,"4WD"}</definedName>
    <definedName name="aaif" localSheetId="0" hidden="1">{#N/A,#N/A,FALSE,"단축1";#N/A,#N/A,FALSE,"단축2";#N/A,#N/A,FALSE,"단축3";#N/A,#N/A,FALSE,"장축";#N/A,#N/A,FALSE,"4WD"}</definedName>
    <definedName name="aaif" hidden="1">{#N/A,#N/A,FALSE,"단축1";#N/A,#N/A,FALSE,"단축2";#N/A,#N/A,FALSE,"단축3";#N/A,#N/A,FALSE,"장축";#N/A,#N/A,FALSE,"4WD"}</definedName>
    <definedName name="aaqs" localSheetId="0" hidden="1">{#N/A,#N/A,FALSE,"단축1";#N/A,#N/A,FALSE,"단축2";#N/A,#N/A,FALSE,"단축3";#N/A,#N/A,FALSE,"장축";#N/A,#N/A,FALSE,"4WD"}</definedName>
    <definedName name="aaqs" hidden="1">{#N/A,#N/A,FALSE,"단축1";#N/A,#N/A,FALSE,"단축2";#N/A,#N/A,FALSE,"단축3";#N/A,#N/A,FALSE,"장축";#N/A,#N/A,FALSE,"4WD"}</definedName>
    <definedName name="AAZ" localSheetId="0" hidden="1">{#N/A,#N/A,FALSE,"해외크레임";#N/A,#N/A,FALSE,"ACCENT현황";#N/A,#N/A,FALSE,"AVANTE";#N/A,#N/A,FALSE,"SONATA(3)";#N/A,#N/A,FALSE,"국내크레임"}</definedName>
    <definedName name="AAZ" hidden="1">{#N/A,#N/A,FALSE,"해외크레임";#N/A,#N/A,FALSE,"ACCENT현황";#N/A,#N/A,FALSE,"AVANTE";#N/A,#N/A,FALSE,"SONATA(3)";#N/A,#N/A,FALSE,"국내크레임"}</definedName>
    <definedName name="AB" localSheetId="0" hidden="1">{#N/A,#N/A,FALSE,"표지";#N/A,#N/A,FALSE,"전제";#N/A,#N/A,FALSE,"손익-자 (2)";#N/A,#N/A,FALSE,"손익-자";#N/A,#N/A,FALSE,"손익-마 (2)";#N/A,#N/A,FALSE,"손익-마";#N/A,#N/A,FALSE,"총손최종"}</definedName>
    <definedName name="AB" hidden="1">{#N/A,#N/A,FALSE,"표지";#N/A,#N/A,FALSE,"전제";#N/A,#N/A,FALSE,"손익-자 (2)";#N/A,#N/A,FALSE,"손익-자";#N/A,#N/A,FALSE,"손익-마 (2)";#N/A,#N/A,FALSE,"손익-마";#N/A,#N/A,FALSE,"총손최종"}</definedName>
    <definedName name="ABCD" localSheetId="0" hidden="1">{#N/A,#N/A,FALSE,"표지";#N/A,#N/A,FALSE,"을지1";#N/A,#N/A,FALSE,"일정1";#N/A,#N/A,FALSE,"일정2";#N/A,#N/A,FALSE,"11T-C";#N/A,#N/A,FALSE,"15T-D";#N/A,#N/A,FALSE,"판매현황";#N/A,#N/A,FALSE,"업무 FLOW"}</definedName>
    <definedName name="ABCD" hidden="1">{#N/A,#N/A,FALSE,"표지";#N/A,#N/A,FALSE,"을지1";#N/A,#N/A,FALSE,"일정1";#N/A,#N/A,FALSE,"일정2";#N/A,#N/A,FALSE,"11T-C";#N/A,#N/A,FALSE,"15T-D";#N/A,#N/A,FALSE,"판매현황";#N/A,#N/A,FALSE,"업무 FLOW"}</definedName>
    <definedName name="abd" localSheetId="0" hidden="1">{#N/A,#N/A,FALSE,"견적대비-2"}</definedName>
    <definedName name="abd" hidden="1">{#N/A,#N/A,FALSE,"견적대비-2"}</definedName>
    <definedName name="ABS이월오더" localSheetId="0" hidden="1">{#N/A,#N/A,FALSE,"단축1";#N/A,#N/A,FALSE,"단축2";#N/A,#N/A,FALSE,"단축3";#N/A,#N/A,FALSE,"장축";#N/A,#N/A,FALSE,"4WD"}</definedName>
    <definedName name="ABS이월오더" hidden="1">{#N/A,#N/A,FALSE,"단축1";#N/A,#N/A,FALSE,"단축2";#N/A,#N/A,FALSE,"단축3";#N/A,#N/A,FALSE,"장축";#N/A,#N/A,FALSE,"4WD"}</definedName>
    <definedName name="ABS이태리" localSheetId="0" hidden="1">{#N/A,#N/A,FALSE,"단축1";#N/A,#N/A,FALSE,"단축2";#N/A,#N/A,FALSE,"단축3";#N/A,#N/A,FALSE,"장축";#N/A,#N/A,FALSE,"4WD"}</definedName>
    <definedName name="ABS이태리" hidden="1">{#N/A,#N/A,FALSE,"단축1";#N/A,#N/A,FALSE,"단축2";#N/A,#N/A,FALSE,"단축3";#N/A,#N/A,FALSE,"장축";#N/A,#N/A,FALSE,"4WD"}</definedName>
    <definedName name="ABS중합">[4]Reporting!$A$33:$A$36</definedName>
    <definedName name="ACB" localSheetId="0"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localSheetId="0" hidden="1">{#N/A,#N/A,FALSE,"을지 (4)";#N/A,#N/A,FALSE,"을지 (5)";#N/A,#N/A,FALSE,"을지 (6)"}</definedName>
    <definedName name="AD" hidden="1">{#N/A,#N/A,FALSE,"을지 (4)";#N/A,#N/A,FALSE,"을지 (5)";#N/A,#N/A,FALSE,"을지 (6)"}</definedName>
    <definedName name="adf" localSheetId="0" hidden="1">{#N/A,#N/A,FALSE,"단축1";#N/A,#N/A,FALSE,"단축2";#N/A,#N/A,FALSE,"단축3";#N/A,#N/A,FALSE,"장축";#N/A,#N/A,FALSE,"4WD"}</definedName>
    <definedName name="adf" hidden="1">{#N/A,#N/A,FALSE,"단축1";#N/A,#N/A,FALSE,"단축2";#N/A,#N/A,FALSE,"단축3";#N/A,#N/A,FALSE,"장축";#N/A,#N/A,FALSE,"4WD"}</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0" hidden="1">{#N/A,#N/A,TRUE,"Y생산";#N/A,#N/A,TRUE,"Y판매";#N/A,#N/A,TRUE,"Y총물량";#N/A,#N/A,TRUE,"Y능력";#N/A,#N/A,TRUE,"YKD"}</definedName>
    <definedName name="ADSDF" hidden="1">{#N/A,#N/A,TRUE,"Y생산";#N/A,#N/A,TRUE,"Y판매";#N/A,#N/A,TRUE,"Y총물량";#N/A,#N/A,TRUE,"Y능력";#N/A,#N/A,TRUE,"YKD"}</definedName>
    <definedName name="afdsf" localSheetId="0" hidden="1">{#N/A,#N/A,FALSE,"단축1";#N/A,#N/A,FALSE,"단축2";#N/A,#N/A,FALSE,"단축3";#N/A,#N/A,FALSE,"장축";#N/A,#N/A,FALSE,"4WD"}</definedName>
    <definedName name="afdsf" hidden="1">{#N/A,#N/A,FALSE,"단축1";#N/A,#N/A,FALSE,"단축2";#N/A,#N/A,FALSE,"단축3";#N/A,#N/A,FALSE,"장축";#N/A,#N/A,FALSE,"4WD"}</definedName>
    <definedName name="aff" localSheetId="0" hidden="1">{#N/A,#N/A,FALSE,"단축1";#N/A,#N/A,FALSE,"단축2";#N/A,#N/A,FALSE,"단축3";#N/A,#N/A,FALSE,"장축";#N/A,#N/A,FALSE,"4WD"}</definedName>
    <definedName name="aff" hidden="1">{#N/A,#N/A,FALSE,"단축1";#N/A,#N/A,FALSE,"단축2";#N/A,#N/A,FALSE,"단축3";#N/A,#N/A,FALSE,"장축";#N/A,#N/A,FALSE,"4WD"}</definedName>
    <definedName name="afs">#REF!</definedName>
    <definedName name="AQP" localSheetId="0" hidden="1">{#N/A,#N/A,FALSE,"96 3월물량표";#N/A,#N/A,FALSE,"96 4월물량표";#N/A,#N/A,FALSE,"96 5월물량표"}</definedName>
    <definedName name="AQP" hidden="1">{#N/A,#N/A,FALSE,"96 3월물량표";#N/A,#N/A,FALSE,"96 4월물량표";#N/A,#N/A,FALSE,"96 5월물량표"}</definedName>
    <definedName name="AS2DocOpenMode" hidden="1">"AS2DocumentEdit"</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d">#REF!</definedName>
    <definedName name="asdf" localSheetId="0" hidden="1">{#N/A,#N/A,FALSE,"단축1";#N/A,#N/A,FALSE,"단축2";#N/A,#N/A,FALSE,"단축3";#N/A,#N/A,FALSE,"장축";#N/A,#N/A,FALSE,"4WD"}</definedName>
    <definedName name="asdf" hidden="1">{#N/A,#N/A,FALSE,"단축1";#N/A,#N/A,FALSE,"단축2";#N/A,#N/A,FALSE,"단축3";#N/A,#N/A,FALSE,"장축";#N/A,#N/A,FALSE,"4WD"}</definedName>
    <definedName name="asdfa" localSheetId="0" hidden="1">{#N/A,#N/A,FALSE,"단축1";#N/A,#N/A,FALSE,"단축2";#N/A,#N/A,FALSE,"단축3";#N/A,#N/A,FALSE,"장축";#N/A,#N/A,FALSE,"4WD"}</definedName>
    <definedName name="asdfa" hidden="1">{#N/A,#N/A,FALSE,"단축1";#N/A,#N/A,FALSE,"단축2";#N/A,#N/A,FALSE,"단축3";#N/A,#N/A,FALSE,"장축";#N/A,#N/A,FALSE,"4WD"}</definedName>
    <definedName name="ASDFAD" localSheetId="0" hidden="1">{#N/A,#N/A,FALSE,"단축1";#N/A,#N/A,FALSE,"단축2";#N/A,#N/A,FALSE,"단축3";#N/A,#N/A,FALSE,"장축";#N/A,#N/A,FALSE,"4WD"}</definedName>
    <definedName name="ASDFAD" hidden="1">{#N/A,#N/A,FALSE,"단축1";#N/A,#N/A,FALSE,"단축2";#N/A,#N/A,FALSE,"단축3";#N/A,#N/A,FALSE,"장축";#N/A,#N/A,FALSE,"4WD"}</definedName>
    <definedName name="asdfasd" localSheetId="0" hidden="1">{#N/A,#N/A,FALSE,"단축1";#N/A,#N/A,FALSE,"단축2";#N/A,#N/A,FALSE,"단축3";#N/A,#N/A,FALSE,"장축";#N/A,#N/A,FALSE,"4WD"}</definedName>
    <definedName name="asdfasd" hidden="1">{#N/A,#N/A,FALSE,"단축1";#N/A,#N/A,FALSE,"단축2";#N/A,#N/A,FALSE,"단축3";#N/A,#N/A,FALSE,"장축";#N/A,#N/A,FALSE,"4WD"}</definedName>
    <definedName name="asdfasdf" localSheetId="0" hidden="1">{#N/A,#N/A,FALSE,"초도품";#N/A,#N/A,FALSE,"초도품 (2)";#N/A,#N/A,FALSE,"초도품 (3)";#N/A,#N/A,FALSE,"초도품 (4)";#N/A,#N/A,FALSE,"초도품 (5)";#N/A,#N/A,FALSE,"초도품 (6)"}</definedName>
    <definedName name="asdfasdf" hidden="1">{#N/A,#N/A,FALSE,"초도품";#N/A,#N/A,FALSE,"초도품 (2)";#N/A,#N/A,FALSE,"초도품 (3)";#N/A,#N/A,FALSE,"초도품 (4)";#N/A,#N/A,FALSE,"초도품 (5)";#N/A,#N/A,FALSE,"초도품 (6)"}</definedName>
    <definedName name="ASDFASF" localSheetId="0" hidden="1">{#N/A,#N/A,FALSE,"단축1";#N/A,#N/A,FALSE,"단축2";#N/A,#N/A,FALSE,"단축3";#N/A,#N/A,FALSE,"장축";#N/A,#N/A,FALSE,"4WD"}</definedName>
    <definedName name="ASDFASF" hidden="1">{#N/A,#N/A,FALSE,"단축1";#N/A,#N/A,FALSE,"단축2";#N/A,#N/A,FALSE,"단축3";#N/A,#N/A,FALSE,"장축";#N/A,#N/A,FALSE,"4WD"}</definedName>
    <definedName name="asdfasgfagag" localSheetId="0" hidden="1">{#N/A,#N/A,FALSE,"단축1";#N/A,#N/A,FALSE,"단축2";#N/A,#N/A,FALSE,"단축3";#N/A,#N/A,FALSE,"장축";#N/A,#N/A,FALSE,"4WD"}</definedName>
    <definedName name="asdfasgfagag" hidden="1">{#N/A,#N/A,FALSE,"단축1";#N/A,#N/A,FALSE,"단축2";#N/A,#N/A,FALSE,"단축3";#N/A,#N/A,FALSE,"장축";#N/A,#N/A,FALSE,"4WD"}</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fdas" localSheetId="0" hidden="1">{#N/A,#N/A,FALSE,"단축1";#N/A,#N/A,FALSE,"단축2";#N/A,#N/A,FALSE,"단축3";#N/A,#N/A,FALSE,"장축";#N/A,#N/A,FALSE,"4WD"}</definedName>
    <definedName name="asdffdas" hidden="1">{#N/A,#N/A,FALSE,"단축1";#N/A,#N/A,FALSE,"단축2";#N/A,#N/A,FALSE,"단축3";#N/A,#N/A,FALSE,"장축";#N/A,#N/A,FALSE,"4WD"}</definedName>
    <definedName name="asdfsdfasdfgasdfasdf" localSheetId="0" hidden="1">{#N/A,#N/A,FALSE,"을지 (4)";#N/A,#N/A,FALSE,"을지 (5)";#N/A,#N/A,FALSE,"을지 (6)"}</definedName>
    <definedName name="asdfsdfasdfgasdfasdf" hidden="1">{#N/A,#N/A,FALSE,"을지 (4)";#N/A,#N/A,FALSE,"을지 (5)";#N/A,#N/A,FALSE,"을지 (6)"}</definedName>
    <definedName name="asf" localSheetId="0" hidden="1">{#N/A,#N/A,FALSE,"단축1";#N/A,#N/A,FALSE,"단축2";#N/A,#N/A,FALSE,"단축3";#N/A,#N/A,FALSE,"장축";#N/A,#N/A,FALSE,"4WD"}</definedName>
    <definedName name="asf" hidden="1">{#N/A,#N/A,FALSE,"단축1";#N/A,#N/A,FALSE,"단축2";#N/A,#N/A,FALSE,"단축3";#N/A,#N/A,FALSE,"장축";#N/A,#N/A,FALSE,"4WD"}</definedName>
    <definedName name="ASFD" localSheetId="0" hidden="1">{#N/A,#N/A,FALSE,"단축1";#N/A,#N/A,FALSE,"단축2";#N/A,#N/A,FALSE,"단축3";#N/A,#N/A,FALSE,"장축";#N/A,#N/A,FALSE,"4WD"}</definedName>
    <definedName name="ASFD" hidden="1">{#N/A,#N/A,FALSE,"단축1";#N/A,#N/A,FALSE,"단축2";#N/A,#N/A,FALSE,"단축3";#N/A,#N/A,FALSE,"장축";#N/A,#N/A,FALSE,"4WD"}</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Y" localSheetId="0" hidden="1">{#N/A,#N/A,FALSE,"단축1";#N/A,#N/A,FALSE,"단축2";#N/A,#N/A,FALSE,"단축3";#N/A,#N/A,FALSE,"장축";#N/A,#N/A,FALSE,"4WD"}</definedName>
    <definedName name="ASSY" hidden="1">{#N/A,#N/A,FALSE,"단축1";#N/A,#N/A,FALSE,"단축2";#N/A,#N/A,FALSE,"단축3";#N/A,#N/A,FALSE,"장축";#N/A,#N/A,FALSE,"4WD"}</definedName>
    <definedName name="BBBBB"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localSheetId="0" hidden="1">{#N/A,#N/A,FALSE,"표지";#N/A,#N/A,FALSE,"전제";#N/A,#N/A,FALSE,"손익-자 (2)";#N/A,#N/A,FALSE,"손익-자";#N/A,#N/A,FALSE,"손익-마 (2)";#N/A,#N/A,FALSE,"손익-마";#N/A,#N/A,FALSE,"총손최종"}</definedName>
    <definedName name="BBBBBB" hidden="1">{#N/A,#N/A,FALSE,"표지";#N/A,#N/A,FALSE,"전제";#N/A,#N/A,FALSE,"손익-자 (2)";#N/A,#N/A,FALSE,"손익-자";#N/A,#N/A,FALSE,"손익-마 (2)";#N/A,#N/A,FALSE,"손익-마";#N/A,#N/A,FALSE,"총손최종"}</definedName>
    <definedName name="BEx01P53UI1H2JGW6DPFGFZGRI7M" hidden="1">#REF!</definedName>
    <definedName name="BEx02TAXU97150MC8FBTTYQ06ZF9" hidden="1">#REF!</definedName>
    <definedName name="BEx036SHU2O860GB5OCHFVD8TFL5" hidden="1">#REF!</definedName>
    <definedName name="BEx1FF6L84LCOTW2IMJ9NW1UKPO9" hidden="1">#REF!</definedName>
    <definedName name="BEx1FM2QOIPYIBY5GM3TWY4BITIT" hidden="1">#REF!</definedName>
    <definedName name="BEx1G83QIJFWSFFM1H70UIU994OK" hidden="1">#REF!</definedName>
    <definedName name="BEx1GJSH1K4IC1BOZHRRMW33VVHF" hidden="1">#REF!</definedName>
    <definedName name="BEx1GW2VEV8DTVMZCRZUYC2NUWVV" hidden="1">#REF!</definedName>
    <definedName name="BEx1HBTDYCIM2K97TQ1R7XTJARGA" hidden="1">#REF!</definedName>
    <definedName name="BEx1HD0L1ZME6KYD9F0LCUCGU0Y2" hidden="1">#REF!</definedName>
    <definedName name="BEx1HHYJR9IIRQFJZZANK8BF48SX" hidden="1">#REF!</definedName>
    <definedName name="BEx1HXOVZW14IWJ4IIGIKXJ9L7YX" hidden="1">#REF!</definedName>
    <definedName name="BEx1I333RU6O2XZ3P5LV1G4MY7LA" hidden="1">#REF!</definedName>
    <definedName name="BEx1ID4MXFVDJKXHFDDURX4L4SWL" hidden="1">#REF!</definedName>
    <definedName name="BEx1IEMLRHQPWCR5FRZ44FJPTQK4" hidden="1">#REF!</definedName>
    <definedName name="BEx1IKRQ4K7GCE5IK1FUBBOAKXJ7" hidden="1">#REF!</definedName>
    <definedName name="BEx1IKX5PG9OGDDEHKG237S135LQ" hidden="1">#REF!</definedName>
    <definedName name="BEx1IL2I2NJCV0YSHTVO72E6ZNNZ" hidden="1">#REF!</definedName>
    <definedName name="BEx1ILDA3B0E89RASGZ30NXMQ3WG" hidden="1">#REF!</definedName>
    <definedName name="BEx1ITM2BFI3IVT0NGVV2RHIKIDZ" hidden="1">#REF!</definedName>
    <definedName name="BEx1J3I4EDH119NGSNECLPR8QHOW" hidden="1">#REF!</definedName>
    <definedName name="BEx1J490FNFMNQSI5BSMYYAR5LRP" hidden="1">#REF!</definedName>
    <definedName name="BEx1JOHFIKE4RPHX2QPE3R0R7UCZ" hidden="1">#REF!</definedName>
    <definedName name="BEx1K0BIHCJPCEV2202KIUY5XAIC" hidden="1">#REF!</definedName>
    <definedName name="BEx1KCR7LLU3BJLAF1J9Q58DW5IE" hidden="1">#REF!</definedName>
    <definedName name="BEx1KMY2GQ6D3S5IUK4BORR9IRH4" hidden="1">#REF!</definedName>
    <definedName name="BEx1LS07AWSTEA36CDECQYZYC1FU" hidden="1">#REF!</definedName>
    <definedName name="BEx1LYW8IP8BQC56WZ6CMTR66HIK" hidden="1">#REF!</definedName>
    <definedName name="BEx1M3E9740XQCWLXNCH4JFJWNZY" hidden="1">#REF!</definedName>
    <definedName name="BEx1M4LEWM0CE5HVOJW0DHJZ4X8Z" hidden="1">#REF!</definedName>
    <definedName name="BEx1MDA4XPFQPLSL2C6BRV7Q0O44" hidden="1">#REF!</definedName>
    <definedName name="BEx1MFDOBEV5TY8GP81VI6HNKR07" hidden="1">#REF!</definedName>
    <definedName name="BEx1MQMCPG2M832VBDD2J3HCNCUL" hidden="1">#REF!</definedName>
    <definedName name="BEx1MS9M7OASXZSD1107T2UTTQKU" hidden="1">#REF!</definedName>
    <definedName name="BEx1NC1R77WSJ7AI5AB137ADO7FD" hidden="1">#REF!</definedName>
    <definedName name="BEx1OFWQUGUX7FCTR32D89MBU3KE" hidden="1">#REF!</definedName>
    <definedName name="BEx1OKPEOY8WP04ZAZRJ75PR44QT" hidden="1">#REF!</definedName>
    <definedName name="BEx1OQZZ8VY8NQ07PE89RAMLAAFZ" hidden="1">#REF!</definedName>
    <definedName name="BEx1PQNRP2UO2AF0WG20H8AXZ8TL" hidden="1">#REF!</definedName>
    <definedName name="BEx1PYR3LN4EFUKPLPOGSQ1DEU0H" hidden="1">#REF!</definedName>
    <definedName name="BEx1QSFAVT7YR0LP9VO63DORE5X5" hidden="1">#REF!</definedName>
    <definedName name="BEx1R0TE1I2X7JKPY6ZF7MCK52NH" hidden="1">#REF!</definedName>
    <definedName name="BEx1RBGDOZGABY64A1XOKLB3KQ3G" hidden="1">#REF!</definedName>
    <definedName name="BEx1RHQWUCOO8MXQO0W0R9F8CPIC" hidden="1">#REF!</definedName>
    <definedName name="BEx1RMJLS3GDR3S2GIYZQ3VVUUD9" hidden="1">#REF!</definedName>
    <definedName name="BEx1RQL65HATLD7YWY569MWI26P1" hidden="1">#REF!</definedName>
    <definedName name="BEx1RU1B1GZ11SFDH050KS7EW97Q" hidden="1">#REF!</definedName>
    <definedName name="BEx1T057JBB4DWYW6AHO2C97519A" hidden="1">#REF!</definedName>
    <definedName name="BEx1U7QZ74QZT1EW1R5H6PIYIAMK" hidden="1">#REF!</definedName>
    <definedName name="BEx1U8I16193098L9JHRBHKZWTLJ" hidden="1">#REF!</definedName>
    <definedName name="BEx1UUDP622HTHNRJ5E5J4XB8CIT" hidden="1">#REF!</definedName>
    <definedName name="BEx1V32F9AA1HUBSDHPXTDSRL3N8" hidden="1">#REF!</definedName>
    <definedName name="BEx1V927QV2O5DZK1V2C1B3ZO2C2" hidden="1">#REF!</definedName>
    <definedName name="BEx1VGJYI09Q4FKWZQRSNTL59LYP" hidden="1">#REF!</definedName>
    <definedName name="BEx1VVOWHU0OB2OEURV0PN22VZQM" hidden="1">#REF!</definedName>
    <definedName name="BEx1W24UFGGCB3XT3VGHBMYM369V" hidden="1">#REF!</definedName>
    <definedName name="BEx1W430LVKRO5ZTULF71SZ3YOOJ" hidden="1">#REF!</definedName>
    <definedName name="BEx1W96ABHRD4UZATT65VDFDLZNK" hidden="1">#REF!</definedName>
    <definedName name="BEx1WE9OTC95R3NXCB0UAANLS069" hidden="1">#REF!</definedName>
    <definedName name="BEx1WI0N6WEC6ZX5Y44MC5020LWM" hidden="1">#REF!</definedName>
    <definedName name="BEx1XASH9I5ETBYLJTNKBH3T01KR" hidden="1">#REF!</definedName>
    <definedName name="BEx1XCVYVU8YTCHATS2ASYMMCKFP" hidden="1">#REF!</definedName>
    <definedName name="BEx1XF4TY7KY23SIB9TTCMXBQ2W1" hidden="1">#REF!</definedName>
    <definedName name="BEx1XGS9HOYXLU6K6VOF4FFQWGC0" hidden="1">#REF!</definedName>
    <definedName name="BEx1XNZ82MYJ8UV05YSISHQUEMSJ" hidden="1">#REF!</definedName>
    <definedName name="BEx3AWHEZGJVYNVLJJBRNU1S8LTV" hidden="1">#REF!</definedName>
    <definedName name="BEx3C8A9P599PKQSD9F59BQC9N0D" hidden="1">#REF!</definedName>
    <definedName name="BEx3D5UP643G8LZWSX4S5X23BYTM" hidden="1">#REF!</definedName>
    <definedName name="BEx3EC9CXICFGCC7YTGG1WR3LV9K" hidden="1">#REF!</definedName>
    <definedName name="BEx3ERZQFSNS9RXXNY269TKK7SMT" hidden="1">#REF!</definedName>
    <definedName name="BEx3ET72W5JIY9ZFXNDLIMBN7W19" hidden="1">#REF!</definedName>
    <definedName name="BEx3EUE1KRM32PTMBJIEXCEJ4BVU" hidden="1">#REF!</definedName>
    <definedName name="BEx3FBH2CA5NWOI7RK612N6JEFER" hidden="1">#REF!</definedName>
    <definedName name="BEx3FKM2NSFO4YKQWCLIXTAKQMIY" hidden="1">#REF!</definedName>
    <definedName name="BEx3FSPEEDN90OCX0DBWJ5NSOPUH" hidden="1">#REF!</definedName>
    <definedName name="BEx3FSUUT52YA1DPTOBLI9XILQMO" hidden="1">#REF!</definedName>
    <definedName name="BEx3FXYAJL08O8AZFGQ02XBTCUWY" hidden="1">#REF!</definedName>
    <definedName name="BEx3GGOJEJNKKPBNWA69G03SVKD2" hidden="1">#REF!</definedName>
    <definedName name="BEx3GJDP0I5VHPY68PZETCV8L82N" hidden="1">#REF!</definedName>
    <definedName name="BEx3GRMI5HKLXARJJGGEN4NIB5U7" hidden="1">#REF!</definedName>
    <definedName name="BEx3H3B9BJVH3OC6A1B8UN7GZUES" hidden="1">#REF!</definedName>
    <definedName name="BEx3H9GE93P9QUGAX5LAI59IWG7I" hidden="1">#REF!</definedName>
    <definedName name="BEx3IREH5Y7XS7F78RD7BHQUKLO1" hidden="1">#REF!</definedName>
    <definedName name="BEx3IVQU6TFHYS7HHOZTQW8TH1S8" hidden="1">#REF!</definedName>
    <definedName name="BEx3JKGXAQ7JZVZB4RDLEDTK6D7W" hidden="1">#REF!</definedName>
    <definedName name="BEx3JQWYQPJSTPC6SC0L6J7Z15G9" hidden="1">#REF!</definedName>
    <definedName name="BEx3KBLHX8KUDCLVVU8LSVWA0DYA" hidden="1">#REF!</definedName>
    <definedName name="BEx3KO6GZ7SJRZPY9HRUBQIQDOQF" hidden="1">#REF!</definedName>
    <definedName name="BEx3LBPK3KLMXI0AZWM77EEY5NLS" hidden="1">#REF!</definedName>
    <definedName name="BEx3LCLWFZFIX1RX241C4A2N53L9" hidden="1">#REF!</definedName>
    <definedName name="BEx3LH3QG3J32EFL9F26CNLYYQH8" hidden="1">#REF!</definedName>
    <definedName name="BEx3M70Z9XMKB9TEJDVXQUGRLMH0" hidden="1">#REF!</definedName>
    <definedName name="BEx3MBTN3ZOSIG87AT2TIH4135M0" hidden="1">#REF!</definedName>
    <definedName name="BEx3ML9F47BBZA0CTLS6QXXOQZ95" hidden="1">#REF!</definedName>
    <definedName name="BEx3MWCNUCWCFB1A95MCSSECGHH1" hidden="1">#REF!</definedName>
    <definedName name="BEx3N4W2D6UR3OB48FR5XAY80FYO" hidden="1">#REF!</definedName>
    <definedName name="BEx3N9U64IHWMO6YI32V3AIA3XUR" hidden="1">#REF!</definedName>
    <definedName name="BEx3NDFNYEHYB6X5XE1FVFMN833Q" hidden="1">#REF!</definedName>
    <definedName name="BEx3NGKUAS07IHBDY3ZHFUNR7YBB" hidden="1">#REF!</definedName>
    <definedName name="BEx3NZLWWWSQSKYUB8G5GE06PS0T" hidden="1">#REF!</definedName>
    <definedName name="BEx3O85IKWARA6NCJOLRBRJFMEWW" hidden="1">[5]Table!#REF!</definedName>
    <definedName name="BEx3OIHV3STZUJJE8O12Z1H3D7VU" hidden="1">#REF!</definedName>
    <definedName name="BEx3OIN5EBLM0HN542PWA0ATP2XC" hidden="1">#REF!</definedName>
    <definedName name="BEx3ORXLECJY0EN6IK6750YORX6M" hidden="1">#REF!</definedName>
    <definedName name="BEx3OS2XJV9J3TD0PX3DZQ9GHZ7W" hidden="1">#REF!</definedName>
    <definedName name="BEx3P3GXS42BSUYCZ404PKTLXBC4" hidden="1">#REF!</definedName>
    <definedName name="BEx3P47ZVA76QDG4B4FQYGRUY6RV" hidden="1">#REF!</definedName>
    <definedName name="BEx3P6RNLCKTKZLBVBCI1KG3PSMN" hidden="1">#REF!</definedName>
    <definedName name="BEx3PJCSRKHNWOFM5PV5EW94CYCY" hidden="1">#REF!</definedName>
    <definedName name="BEx3PSHXYXPPJ4U6KDH1EP64ZXLB" hidden="1">#REF!</definedName>
    <definedName name="BEx3QETP4FJ3YMAV28HQSKCJZA4F" hidden="1">#REF!</definedName>
    <definedName name="BEx3QVR8CUVI59XDIDUUYG05VEHT" hidden="1">#REF!</definedName>
    <definedName name="BEx3R1ARO4UU84AO2JIWVC0CMEVP" hidden="1">#REF!</definedName>
    <definedName name="BEx3RQBT1F2K7XL15OMO8KBOGB3Q" hidden="1">#REF!</definedName>
    <definedName name="BEx3RZM8YO5144GSMIAS0PUMN0M5" hidden="1">#REF!</definedName>
    <definedName name="BEx3S1488ARACFR1ADRLC8L34FVF" hidden="1">#REF!</definedName>
    <definedName name="BEx3SRN1RZ6DYCTA992OLT67XA1A" hidden="1">#REF!</definedName>
    <definedName name="BEx3T6H77QGSY4HDM3Q6MDCH1U7Y" hidden="1">#REF!</definedName>
    <definedName name="BEx3TPT06CKKD0K4E6X9OWB2KN6S" hidden="1">#REF!</definedName>
    <definedName name="BEx589YRDUQVFQ89BD37E7HFNIKK" hidden="1">#REF!</definedName>
    <definedName name="BEx59PD4VCS8OL5FE8GKEKX5Z2HT" hidden="1">#REF!</definedName>
    <definedName name="BEx59U0GCFAHD01OFWA99606NBNI" hidden="1">#REF!</definedName>
    <definedName name="BEx5A2JUUTVFONS68R61F4XBZ1AI" hidden="1">#REF!</definedName>
    <definedName name="BEx5AGSAGRZPORONIJ6VAUEOKGF7" hidden="1">#REF!</definedName>
    <definedName name="BEx5AMS2PLT8UU08ZX86NLRT7L9G" hidden="1">#REF!</definedName>
    <definedName name="BEx5AR9XO2LWE29BZGBBWCQ2FXF8" hidden="1">#REF!</definedName>
    <definedName name="BEx5B8NQ383MB9CJ94UEITE2ZRLN" hidden="1">#REF!</definedName>
    <definedName name="BEx5BC96GESWQACJUNTVNOU28TDG" hidden="1">#REF!</definedName>
    <definedName name="BEx5BENJ8WTPGCWF5JHH9YRDQWLW" hidden="1">#REF!</definedName>
    <definedName name="BEx5BLJOAD9YO9K94VAZ8RUJMOI0" hidden="1">#REF!</definedName>
    <definedName name="BEx5C0OG8AU1OF42GW2H6DN9H9PM" hidden="1">#REF!</definedName>
    <definedName name="BEx5C3Z655XLG1E4XH3G7AM16W3F" hidden="1">#REF!</definedName>
    <definedName name="BEx5CLNRK6CSRYFLJ9J0ZQDK818W" hidden="1">#REF!</definedName>
    <definedName name="BEx5D78MHCOQJN78LUQ0V2W8YJS4" hidden="1">#REF!</definedName>
    <definedName name="BEx5DQKHOEOF38NC3799YZHZZP0U" hidden="1">#REF!</definedName>
    <definedName name="BEx5DSO0UUY54I2VD2SQZ33HRBNP" hidden="1">#REF!</definedName>
    <definedName name="BEx5EBJQMI9LV2FGK59EV126L9DM" hidden="1">#REF!</definedName>
    <definedName name="BEx5EU4PK6EEU86IUJR77BSEYV58" hidden="1">#REF!</definedName>
    <definedName name="BEx5F9V2DI0O16UACYSKOAB92CHR" hidden="1">#REF!</definedName>
    <definedName name="BEx5G4FM4CKEW9J1NOCFLASHBXMO" hidden="1">#REF!</definedName>
    <definedName name="BEx5GF2KYDX8UBFV5XVN4CERBNX7" hidden="1">#REF!</definedName>
    <definedName name="BEx5H0NG68DMRTYQ0CN1LTFXYIS1" hidden="1">#REF!</definedName>
    <definedName name="BEx5H8QQYW80KJ7EH0HYQDWKSYBR" hidden="1">#REF!</definedName>
    <definedName name="BEx5HRBP34CZQKD0QXD65UVT8469" hidden="1">#REF!</definedName>
    <definedName name="BEx5I2454Q3JIJ8CY83ZZTZA3U28" hidden="1">#REF!</definedName>
    <definedName name="BEx5I29G8WLR9EU0JWSK0QZXSDJ2" hidden="1">#REF!</definedName>
    <definedName name="BEx5I4CZ0MUT9ZWWKVPWUPOFWHR4" hidden="1">#REF!</definedName>
    <definedName name="BEx5IKP3NVXK6ZFYW9UP63TRGIJJ" hidden="1">#REF!</definedName>
    <definedName name="BEx5ISS7VO0743FNN24DCVMF4YSZ" hidden="1">#REF!</definedName>
    <definedName name="BEx5JHIC09XQTNUDRD71S00LM6MA" hidden="1">#REF!</definedName>
    <definedName name="BEx5JPGC8LOFV0F1AG29CLI0O3MM" hidden="1">#REF!</definedName>
    <definedName name="BEx5JPLN8AV3NF6CHZMM3TO0JR6Q" hidden="1">#REF!</definedName>
    <definedName name="BEx5JQI55YQL5T3ONPBCE3JHLPCP" hidden="1">#REF!</definedName>
    <definedName name="BEx5JSR04A3P5JKJHD5U62CVEBJV" hidden="1">#REF!</definedName>
    <definedName name="BEx5JZ6WVFZ7Q4EE91I9U8DBAW5X" hidden="1">#REF!</definedName>
    <definedName name="BEx5K0JJ9IQJ95398B2RSCIIR91O" hidden="1">#REF!</definedName>
    <definedName name="BEx5K26YQVAFF1COXF61V3BOMD61" hidden="1">#REF!</definedName>
    <definedName name="BEx5K3ZJWHDMD7JPZMCR27UJYYZ8" hidden="1">#REF!</definedName>
    <definedName name="BEx5KKBO8FBHEHTTGLUWA4M3R2HJ" hidden="1">#REF!</definedName>
    <definedName name="BEx5KRIMEFMN92ZAH0KXFK2J9IDK" hidden="1">#REF!</definedName>
    <definedName name="BEx5KRNX60XCY2NWFE2MFIDFSLR4" hidden="1">#REF!</definedName>
    <definedName name="BEx5KU27IM925X7Q6TU3H8RLJBAY" hidden="1">#REF!</definedName>
    <definedName name="BEx5L3I6ULHZ6TW2H7U8ZMR4L5UC" hidden="1">#REF!</definedName>
    <definedName name="BEx5LGJGLXA7X2YWJIED8MTY9D39" hidden="1">#REF!</definedName>
    <definedName name="BEx5M12GTAUJZBUUITY9W3VPO7BL" hidden="1">#REF!</definedName>
    <definedName name="BEx5M5V2RPXPZKPFL5RHCXTO7EAJ" hidden="1">#REF!</definedName>
    <definedName name="BEx5M6WYFG1V2YK73P2BG50ZNFEQ" hidden="1">#REF!</definedName>
    <definedName name="BEx5MBK2TA59YRZ87O946MU1Y3P2" hidden="1">#REF!</definedName>
    <definedName name="BEx5MBPKWN3KNTCJSMWTJT5D2W6X" hidden="1">#REF!</definedName>
    <definedName name="BEx5MDSZ48VGCODPYCOLEJYXF547" hidden="1">#REF!</definedName>
    <definedName name="BEx5MLG5PVTIQ80PIF6JQ9EIUEPW" hidden="1">#REF!</definedName>
    <definedName name="BEx5MLQZM68YQSKARVWTTPINFQ2C" hidden="1">[5]Table!#REF!</definedName>
    <definedName name="BEx5MTE53HFE428LC1MV0M8TPNMO" hidden="1">#REF!</definedName>
    <definedName name="BEx5MUADT236875R7SXHCBZ20W1D" hidden="1">#REF!</definedName>
    <definedName name="BEx5N0FO4LS4KOM66KP48YFLL5M9" hidden="1">#REF!</definedName>
    <definedName name="BEx5NCQ176NMNN0E4HAQHKHRUDS8" hidden="1">#REF!</definedName>
    <definedName name="BEx5NM5TKMI3FTFY4LEFAV7RPFA8" hidden="1">#REF!</definedName>
    <definedName name="BEx5OAL4D7RIH1AZHCTWOX5D3LHT" hidden="1">#REF!</definedName>
    <definedName name="BEx5PGUFKKYL0506MMKH4MAJ4LHO" hidden="1">#REF!</definedName>
    <definedName name="BEx5PY88CBN9U7NRZODENYGR6VP2" hidden="1">#REF!</definedName>
    <definedName name="BEx5Q6BIYDETGKJC1L8Q26JHV9U8" hidden="1">#REF!</definedName>
    <definedName name="BEx5QSHY73GBJOEOC56VLJLYOWJ8" hidden="1">#REF!</definedName>
    <definedName name="BEx75J93R76H0RIOKZ61FT47VKGL" hidden="1">#REF!</definedName>
    <definedName name="BEx76WJX3W9KAG25FIJPIFJLSCSD" hidden="1">#REF!</definedName>
    <definedName name="BEx775ZPP0MFBKB258HEY91MVJVL" hidden="1">#REF!</definedName>
    <definedName name="BEx77AC93XW2WYUD5NJ6M7PFZZCQ" hidden="1">#REF!</definedName>
    <definedName name="BEx77U462YTKDUKSET1VGVCD4HWI" hidden="1">#REF!</definedName>
    <definedName name="BEx77YWUSE0HAOZNG09QGFANO5F1" hidden="1">#REF!</definedName>
    <definedName name="BEx7B0B0V4QE25Z2D60XAK1EQEXI" hidden="1">#REF!</definedName>
    <definedName name="BEx7B305Y3K236KNWB0LXODQ0SXK" hidden="1">#REF!</definedName>
    <definedName name="BEx7BLVR154BDNMJ54DKPVNHHEEX" hidden="1">#REF!</definedName>
    <definedName name="BEx7BMMS95T22S7YZ9VYSVY1UF2C" hidden="1">#REF!</definedName>
    <definedName name="BEx7BVRT08T4YE0Q60O48T8TF7FV" hidden="1">#REF!</definedName>
    <definedName name="BEx7C4RHLDQJG64PAO3N0KF0QVWR" hidden="1">#REF!</definedName>
    <definedName name="BEx7CHHZG3ZROI7Y7V40MWG7KUZE" hidden="1">#REF!</definedName>
    <definedName name="BEx7DK5TVKHFDC1IFG1EGF2EMG1E" hidden="1">#REF!</definedName>
    <definedName name="BEx7DNGIMM25H70EQY1RKZCFVVKR" hidden="1">#REF!</definedName>
    <definedName name="BEx7DTGATQF4CJYR9MX4LX1OP7UU" hidden="1">#REF!</definedName>
    <definedName name="BEx7DZG439F63WJ7CNS49NFFA7P5" hidden="1">#REF!</definedName>
    <definedName name="BEx7ED2Z8BUF4RH3QO2TGZF1OOQ4" hidden="1">#REF!</definedName>
    <definedName name="BEx7EFMR0DRR8M5NCZDKD070H89I" hidden="1">#REF!</definedName>
    <definedName name="BEx7EJJ0XHGMDOV60PSS74DPI6YQ" hidden="1">#REF!</definedName>
    <definedName name="BEx7EMZ0SX6IDUGNIWGHHFVW3Z25" hidden="1">#REF!</definedName>
    <definedName name="BEx7EXWX7KZ3BT3131G36UMTFV90" hidden="1">#REF!</definedName>
    <definedName name="BEx7EYTAN1HW1SKZPFV2GVJYX0TS" hidden="1">#REF!</definedName>
    <definedName name="BEx7GFPK6Y8V4KTU7723YI2ZMLEO" hidden="1">#REF!</definedName>
    <definedName name="BEx7HEH014M40V6I8FJENBGNGN8N" hidden="1">#REF!</definedName>
    <definedName name="BEx7HIO3P6PFDMWL4TAG04CTCECQ" hidden="1">#REF!</definedName>
    <definedName name="BEx7HPK7W4PCJF9H5SSZQVBCS1YU" hidden="1">#REF!</definedName>
    <definedName name="BEx7HWGEFCU6YTXTVKH98N4T5AE5" hidden="1">#REF!</definedName>
    <definedName name="BEx7IA8PY4ADFKVU7LSFO8L9BSA5" hidden="1">#REF!</definedName>
    <definedName name="BEx7IF6NKK7Z8GXQN3O2C4ACUMCV" hidden="1">#REF!</definedName>
    <definedName name="BEx7IWVAAQ5HSSC1BXXOVZ8BPBB4" hidden="1">#REF!</definedName>
    <definedName name="BEx7JB3NNLDL129OGU78NAPHUSCP" hidden="1">#REF!</definedName>
    <definedName name="BEx7JE91OBRL4U3RA23Q7GKFI9LZ" hidden="1">#REF!</definedName>
    <definedName name="BEx7KEILDQZAX8X28BKJ7VSGMWZT" hidden="1">#REF!</definedName>
    <definedName name="BEx7KUJRFGR8ZHR0N9AARPTNGCYB" hidden="1">#REF!</definedName>
    <definedName name="BEx7KZ1MG2BMJB116TSKH4PH6QJY" hidden="1">#REF!</definedName>
    <definedName name="BEx7L86MWWOKWBWH3JENWHXN0GZI" hidden="1">#REF!</definedName>
    <definedName name="BEx7LY9BMAWSUHA10NUESJAO624X" hidden="1">#REF!</definedName>
    <definedName name="BEx7MAJOB0HS4DXWLG6CAN1K16SW" hidden="1">#REF!</definedName>
    <definedName name="BEx907HBL8YITASULQT0ZDZKU45N" hidden="1">#REF!</definedName>
    <definedName name="BEx90BODLKABTHB2ISU32NUNADBK" hidden="1">#REF!</definedName>
    <definedName name="BEx90I9RCTQBVD7GGFWUGPDS94PR" hidden="1">#REF!</definedName>
    <definedName name="BEx90JGWQ5VDFU9RJ9F8G2DSDYLV" hidden="1">#REF!</definedName>
    <definedName name="BEx90K2HOR4ST125B7UMJYDDRKB5" hidden="1">#REF!</definedName>
    <definedName name="BEx90L9NNFEDBVORQM9PX08BXAWZ" hidden="1">#REF!</definedName>
    <definedName name="BEx90YWGW7SOY5BHMIARNF00TXUB" hidden="1">#REF!</definedName>
    <definedName name="BEx917W6PIR68DDAPMMPU8CIZ3TC" hidden="1">#REF!</definedName>
    <definedName name="BEx929YGYRLT03FGC4YS1HQFAOAV" hidden="1">#REF!</definedName>
    <definedName name="BEx9312T98HLR8I5PHG3S4D33K7F" hidden="1">#REF!</definedName>
    <definedName name="BEx936X6ZKVDDG83LEBAD7GZ5OUZ" hidden="1">#REF!</definedName>
    <definedName name="BEx93AO588BNWR4ZQOIHOTIFMSGY" hidden="1">#REF!</definedName>
    <definedName name="BEx93CRNH6N4OLC2XDFMRPDTH14C" hidden="1">#REF!</definedName>
    <definedName name="BEx93EV5KL70EWAD0MC7EG6P8C71" hidden="1">#REF!</definedName>
    <definedName name="BEx94354L3M1TH18IR9ZKU5YRG25" hidden="1">#REF!</definedName>
    <definedName name="BEx949L0FMA2O3RAMZAKSCTKL7EB" hidden="1">#REF!</definedName>
    <definedName name="BEx94HOC8JYV0CNAAUGWKYUCJTNW" hidden="1">#REF!</definedName>
    <definedName name="BEx9598ZLDYDUFCH4IQQXLDXWT2D" hidden="1">#REF!</definedName>
    <definedName name="BEx95E1LK8E5IRAXBDEQ7MG33UIE" hidden="1">#REF!</definedName>
    <definedName name="BEx9614FE8GTVY4HNFE68QI087JE" hidden="1">#REF!</definedName>
    <definedName name="BEx963TJHZW9XCNKRQNHNHX8FH3G" hidden="1">#REF!</definedName>
    <definedName name="BEx96CT87TTRC76FUWA7EB51I8KT" hidden="1">#REF!</definedName>
    <definedName name="BEx96FNMU7XZJCET72FK9SBIQ6CV" hidden="1">#REF!</definedName>
    <definedName name="BEx96UXXRINVHQL9UJFL8IZFMI96" hidden="1">#REF!</definedName>
    <definedName name="BEx974ZBSIHK0XCOUBU65JXC5FYQ" hidden="1">#REF!</definedName>
    <definedName name="BEx9796CRP8HKV5KF3NM2MSAP566" hidden="1">#REF!</definedName>
    <definedName name="BEx97PIH00MGPER0NB6X0F706FOW" hidden="1">#REF!</definedName>
    <definedName name="BEx99EY75V55WXCLP3298THITGR1" hidden="1">#REF!</definedName>
    <definedName name="BEx99IE6YQOSCXSBA0MYKL0FK0Z0" hidden="1">#REF!</definedName>
    <definedName name="BEx9A5GZLUTYL7DPJRJ0JW1CUZU1" hidden="1">#REF!</definedName>
    <definedName name="BEx9ADV38TVO8W0ETGLX420MQQW7" hidden="1">#REF!</definedName>
    <definedName name="BEx9BLGXZ68YZF6YFRLKDHSXNVM0" hidden="1">#REF!</definedName>
    <definedName name="BEx9CDHMV89ICIXVXK1KHNM0H5YY" hidden="1">#REF!</definedName>
    <definedName name="BEx9CSRX2X8I1R064M7PX3I9FZ1F" hidden="1">#REF!</definedName>
    <definedName name="BEx9CVH2L1GI71FUZGHOMD27JO9N" hidden="1">#REF!</definedName>
    <definedName name="BEx9D1MANI9CYJ96VBXRSVPXTWWG" hidden="1">#REF!</definedName>
    <definedName name="BEx9DMQWWY4ZED4Y35AWS62FP5P2" hidden="1">#REF!</definedName>
    <definedName name="BEx9DN1OZY3K2O3YXXV3Q0IBMJT8" hidden="1">#REF!</definedName>
    <definedName name="BEx9ESURDLQU300VPA6CQJVL8RWU" hidden="1">#REF!</definedName>
    <definedName name="BEx9ETGBBX5YPCRB1YE9RKMT55JR" hidden="1">#REF!</definedName>
    <definedName name="BEx9EV92NWPL3DUW46JF99AABXLL" hidden="1">#REF!</definedName>
    <definedName name="BEx9EWR228AWMVWRPQL46QH9R5CL" hidden="1">#REF!</definedName>
    <definedName name="BEx9FDDRO6IR0OYI199WPVCT6V7E" hidden="1">#REF!</definedName>
    <definedName name="BEx9FFBZXPG77BN6H2J0DUBYAGLV" hidden="1">#REF!</definedName>
    <definedName name="BEx9FLBQU3M7P6ND8RMR22PANZD4" hidden="1">#REF!</definedName>
    <definedName name="BEx9FURKM3YNR5QMYQFDDZSWIYTA" hidden="1">#REF!</definedName>
    <definedName name="BEx9FVNXN9U62QKNUC0DLUARPZ0C" hidden="1">#REF!</definedName>
    <definedName name="BEx9FVTF3SV3MAXNPKUG8ZE0KUND" hidden="1">#REF!</definedName>
    <definedName name="BEx9GYXD6FY127PL9PWY9JGEX0RB" hidden="1">#REF!</definedName>
    <definedName name="BEx9H4BLXT4YNN4KS8ZCI8DJC99M" hidden="1">#REF!</definedName>
    <definedName name="BEx9H7BGRA5KAONRA8JPJ997RF52" hidden="1">#REF!</definedName>
    <definedName name="BEx9HA0L9RL7N8L18JT2NMCPLQ7X" hidden="1">#REF!</definedName>
    <definedName name="BEx9HLJX0258IIMP0YQF15MQJNNA" hidden="1">#REF!</definedName>
    <definedName name="BEx9HMWECXYM6T2HBG4PPUD69IKQ" hidden="1">#REF!</definedName>
    <definedName name="BEx9IMKDWSMA7ZA6SL1HXVA3HL4X" hidden="1">#REF!</definedName>
    <definedName name="BEx9IQGN9MJXTJE4N99T63EL4EP2" hidden="1">#REF!</definedName>
    <definedName name="BEx9J8LH0MXXEUHA5700XF49OPNT" hidden="1">#REF!</definedName>
    <definedName name="BEx9JFXQATS84FFX8S1L292NJXNM" hidden="1">#REF!</definedName>
    <definedName name="BExAWPSJ4FZ3SWIKML6PGGZ9B4LB" hidden="1">#REF!</definedName>
    <definedName name="BExAWVHJJVGESFL9M1SNV7R5BRI4" hidden="1">#REF!</definedName>
    <definedName name="BExAWX4UQ26CHPV6NKISFJMPV91I" hidden="1">#REF!</definedName>
    <definedName name="BExAXBYZV5DL1NLRLD67KJCL6WSR" hidden="1">#REF!</definedName>
    <definedName name="BExAXDRQHBH6SV8AY42AO15NSH47" hidden="1">#REF!</definedName>
    <definedName name="BExAXGRN6UU400AD81V8O4GGU42Q" hidden="1">#REF!</definedName>
    <definedName name="BExAXP0AOGEQN10VXHSUY5CSP4Q4" hidden="1">#REF!</definedName>
    <definedName name="BExAXS05N1RNI0B32K6I8KWGO55I" hidden="1">#REF!</definedName>
    <definedName name="BExAY7L8GB0FMKQH00JYO604BE3W" hidden="1">#REF!</definedName>
    <definedName name="BExAYPVDMT0RT2XJD6M3XGWLS5KY" hidden="1">#REF!</definedName>
    <definedName name="BExAYQX31DSACVENZ0Y35RT42RMW" hidden="1">#REF!</definedName>
    <definedName name="BExAZ6YFMWYFOJMGBPDN23WH1KVI" hidden="1">#REF!</definedName>
    <definedName name="BExB05KJLLNXE7SG0MDZ4AC20LWE" hidden="1">#REF!</definedName>
    <definedName name="BExB0FB9PFB3EL9SNF8A9F206DBA" hidden="1">#REF!</definedName>
    <definedName name="BExB0ULDAJ10W54YS0AGT2JIBFBY" hidden="1">#REF!</definedName>
    <definedName name="BExB15OMGWE5QB2YNUIKLSQP7W9O" hidden="1">#REF!</definedName>
    <definedName name="BExB2B1L5O0SOEWY8X75SJ6IKKTT" hidden="1">#REF!</definedName>
    <definedName name="BExB3924E30H8U4C7MXEWSEZ8T5K" hidden="1">#REF!</definedName>
    <definedName name="BExB3A99F9BWRDO0O1CZIN0MTTJY" hidden="1">#REF!</definedName>
    <definedName name="BExB3HWAMH1T130M2JCLP6QCMPY9" hidden="1">#REF!</definedName>
    <definedName name="BExB4BVAW2P111IUBR5IJX9F8EXM" hidden="1">#REF!</definedName>
    <definedName name="BExB4E4B44A5H44WDQ6N68FD5X55" hidden="1">#REF!</definedName>
    <definedName name="BExB4EV6GFKGHLEP3OGR9NDGP6CV" hidden="1">#REF!</definedName>
    <definedName name="BExB4OR8B9MQDV2PWJM2FBBQ7956" hidden="1">#REF!</definedName>
    <definedName name="BExB53FYK7S540EVXM5J702OCGT4" hidden="1">#REF!</definedName>
    <definedName name="BExB5YWPAC1UNSPDFP99X8X60H12" hidden="1">#REF!</definedName>
    <definedName name="BExB5ZNQ8415G6HTAWXCCZD0AIMO" hidden="1">#REF!</definedName>
    <definedName name="BExB60UX8Z9GFKFPERPU4US8SBBX" hidden="1">#REF!</definedName>
    <definedName name="BExB6HXXG82ML0V45L514JJILIWL" hidden="1">#REF!</definedName>
    <definedName name="BExB6WH4ANQCNA5PN4E6CW0HK3LR" hidden="1">#REF!</definedName>
    <definedName name="BExB7BGLHURVRZDMZ37YXNA4OFLN" hidden="1">#REF!</definedName>
    <definedName name="BExB7EGJJ6PXG3QCBS5JYENLKMOL" hidden="1">#REF!</definedName>
    <definedName name="BExB7HGFCPW6X708COHKEJBOXYF0" hidden="1">#REF!</definedName>
    <definedName name="BExB81DTQS33FMEUU8IDSUAT7PBK" hidden="1">#REF!</definedName>
    <definedName name="BExB8E4HRO4ZHJ4626H022HHRSWO" hidden="1">#REF!</definedName>
    <definedName name="BExB8F66HA7AGO5XWCSXHGHHJWL6" hidden="1">#REF!</definedName>
    <definedName name="BExB8NKA4GXXTE6K9WGEV2RBRYZV" hidden="1">#REF!</definedName>
    <definedName name="BExB8VCTQKE13A34K6VHGT5258II" hidden="1">#REF!</definedName>
    <definedName name="BExB9FQHYTP4SKPPSX6MLBQR7MJO" hidden="1">#REF!</definedName>
    <definedName name="BExBA1LZYVG5I8MFGEPYTFAPGEVV" hidden="1">#REF!</definedName>
    <definedName name="BExBA821NE0YEHX7TNN8UWKDSTAY" hidden="1">#REF!</definedName>
    <definedName name="BExBANCCJU0KL7NCC2VGW55AZE7O" hidden="1">#REF!</definedName>
    <definedName name="BExBAVA6HQBYXOK83ADZG4ETN8JU" hidden="1">#REF!</definedName>
    <definedName name="BExBBXCH9JGQ44L2GGHR29GVV6BY" hidden="1">#REF!</definedName>
    <definedName name="BExBC2535EDJDE28HGAGMLR90BNN" hidden="1">#REF!</definedName>
    <definedName name="BExBC4ZIX6NPDTKAUE5RWKV2KK3U" hidden="1">#REF!</definedName>
    <definedName name="BExBCR5XKCV1R7USY0QI7IBCN84K" hidden="1">#REF!</definedName>
    <definedName name="BExBCXRB7CO0NRPNYBEPFLU2OJ5F" hidden="1">#REF!</definedName>
    <definedName name="BExBD5EJ4KJ41H9S53UU24CPXHP7" hidden="1">#REF!</definedName>
    <definedName name="BExBDJMY4BSDVKVLKURMK7IIXB3U" hidden="1">#REF!</definedName>
    <definedName name="BExBDZDC31JWFEVIRQ2MWAJX4UKN" hidden="1">#REF!</definedName>
    <definedName name="BExBE3V730532JPUBOP4Y3NFWIIQ" hidden="1">#REF!</definedName>
    <definedName name="BExBE6KAC1FUXAXUEPX48RJY12C6" hidden="1">#REF!</definedName>
    <definedName name="BExBE99EHXP722AXVAE0RMTSYOHS" hidden="1">#REF!</definedName>
    <definedName name="BExBEAGJ6ISZNQ6SF41G27B588YO" hidden="1">#REF!</definedName>
    <definedName name="BExBEE21T03QE61PYZVAT6VFE5XU" hidden="1">#REF!</definedName>
    <definedName name="BExCSP82COVG6CSPV4UAR22RXIPZ" hidden="1">#REF!</definedName>
    <definedName name="BExCT5PI3HD44RGLNK3K0DQQIIH6" hidden="1">#REF!</definedName>
    <definedName name="BExCTLAJZNZORMKRNYPSSNQ2OSGC" hidden="1">#REF!</definedName>
    <definedName name="BExCUBO2HQ3VK1K5L49NC17KI34P" hidden="1">#REF!</definedName>
    <definedName name="BExCUFV3EKEA9CCUT7FGL10QBPNC" hidden="1">#REF!</definedName>
    <definedName name="BExCVDKUR8LDPV2EM0N0L0MX9P4O" hidden="1">#REF!</definedName>
    <definedName name="BExCVMVC7BS57JXBCY9RT85ECZFQ" hidden="1">#REF!</definedName>
    <definedName name="BExCW2WI7Z59XN101CN8R8OVJHZ5" hidden="1">#REF!</definedName>
    <definedName name="BExCX72B8Y80E2ZJG03OTR52VR3P" hidden="1">#REF!</definedName>
    <definedName name="BExCXXABLQ9DFG6JOATKOODE1X50" hidden="1">#REF!</definedName>
    <definedName name="BExCYF9PNKZM54UCBX4MI55WMA4D" hidden="1">#REF!</definedName>
    <definedName name="BExCYMGOA8H8MXMGWRQNHKM9KPQA" hidden="1">#REF!</definedName>
    <definedName name="BExCZE14UAFW8TTAFCH0ER50HPPY" hidden="1">#REF!</definedName>
    <definedName name="BExCZLIVTYX024X4BBAPY4JY3SBJ" hidden="1">#REF!</definedName>
    <definedName name="BExCZRINIQP85ZU79HZ0LJVVO68O" hidden="1">#REF!</definedName>
    <definedName name="BExCZWGSWIZH5UJELWXBAE35YHYH" hidden="1">#REF!</definedName>
    <definedName name="BExD04K3Q1LRNZ68V5Z290XU6NWZ" hidden="1">#REF!</definedName>
    <definedName name="BExD0POOVDDAD22AX62V62MSM0OO" hidden="1">#REF!</definedName>
    <definedName name="BExD10X8PA30J3SSB7NZRZCT4EOZ" hidden="1">#REF!</definedName>
    <definedName name="BExD17YVORFIZ0JUPGDA839A12E7" hidden="1">#REF!</definedName>
    <definedName name="BExD1JCVU8CB8XRLQZIZYSTPBVF0" hidden="1">#REF!</definedName>
    <definedName name="BExD1N9567KXL2FZ1GK9L8YI1M2P" hidden="1">#REF!</definedName>
    <definedName name="BExD24S86RMD77UWV70VTASDCNV4" hidden="1">#REF!</definedName>
    <definedName name="BExD2B2UHFLTXLETBW7N8QF2U7N7" hidden="1">#REF!</definedName>
    <definedName name="BExD2ETRZMK5VZFVIVMTT5QSCVYM" hidden="1">#REF!</definedName>
    <definedName name="BExD2VGJN6VEC9LT2HKQ5SY3D41V" hidden="1">#REF!</definedName>
    <definedName name="BExD2XUTIXC5BIMVTI1O036ZXNKA" hidden="1">#REF!</definedName>
    <definedName name="BExD425YZ0U336137AV3T0D7MI9Q" hidden="1">#REF!</definedName>
    <definedName name="BExD47UZAEE1CUIGNKPHGYLXKLRW" hidden="1">#REF!</definedName>
    <definedName name="BExD49T16XQPJL3AQNLLCN2LMKXM" hidden="1">#REF!</definedName>
    <definedName name="BExD4J3IJEAVWQLNV7DZCRMWCRY5" hidden="1">#REF!</definedName>
    <definedName name="BExD4KQXNXZRO18VD1LMQHPQ1I69" hidden="1">#REF!</definedName>
    <definedName name="BExD4TVYZQ4XXMQZ0FLIFD2VEZ4H" hidden="1">#REF!</definedName>
    <definedName name="BExD56X67QB3KPMQZ5WXFXGDM53X" hidden="1">#REF!</definedName>
    <definedName name="BExD5HKD1FLCEJCB2T5HEJGOTGCU" hidden="1">#REF!</definedName>
    <definedName name="BExD5KK8NXBL2KA4A44TWZ9I58LZ" hidden="1">#REF!</definedName>
    <definedName name="BExD6BOMKN63STIW7VEKXK8D7AXB" hidden="1">#REF!</definedName>
    <definedName name="BExD79JUTSDR5RBENRPIFLTULRGU" hidden="1">#REF!</definedName>
    <definedName name="BExD79UM0S6AQT957UZGLQUH5X5E" hidden="1">#REF!</definedName>
    <definedName name="BExD7TBX4OD50URKXRQNWD8MO79I" hidden="1">#REF!</definedName>
    <definedName name="BExD87F2LNDOOQTYEN8CR2427GBL" hidden="1">#REF!</definedName>
    <definedName name="BExD87KDCTC17VSIOTT49WRDH8UL" hidden="1">#REF!</definedName>
    <definedName name="BExD88GRK82D5BEVRFRCLHDVUPQJ" hidden="1">#REF!</definedName>
    <definedName name="BExD8VE336PE8P2ZWHKJHZ2OH4CN" hidden="1">#REF!</definedName>
    <definedName name="BExD931ABNJD26EN11T90T77FVMP" hidden="1">#REF!</definedName>
    <definedName name="BExDAMRZSW8TGW8HMXFI5097NAPK" hidden="1">#REF!</definedName>
    <definedName name="BExDBEY7XHP3WEO8A6T2NTJW079P" hidden="1">#REF!</definedName>
    <definedName name="BExDC5MIIRHEXMB71YJMOLT334L2" hidden="1">#REF!</definedName>
    <definedName name="BExEO2126GYIBVHVXNY8AAMGOW6M" hidden="1">#REF!</definedName>
    <definedName name="BExEOUSTSIZXBJFBU2RHUB5UGHZ3" hidden="1">#REF!</definedName>
    <definedName name="BExEPEQ9N2SRSZXAD82L9YAHKEQ1" hidden="1">#REF!</definedName>
    <definedName name="BExEPG2VYDPGA4VW5P3YKN7NOQRT" hidden="1">#REF!</definedName>
    <definedName name="BExEPGTTB8M6EKCN0G2BRAKXQRXL" hidden="1">#REF!</definedName>
    <definedName name="BExEPTPRBZCJUQOUBD4P86Q0Z2NP" hidden="1">#REF!</definedName>
    <definedName name="BExEPW9J4OCGZVYRUGR1NJ6OBEZG" hidden="1">#REF!</definedName>
    <definedName name="BExEPY7LI2IF49A15X3LI8GUQIZQ" hidden="1">#REF!</definedName>
    <definedName name="BExEQ0GL3PLYGNYS1N85AP2EXIA7" hidden="1">#REF!</definedName>
    <definedName name="BExEQG6YOCF1F8IJRAMM9FR2K12K" hidden="1">#REF!</definedName>
    <definedName name="BExEQILBGUFN5R399T43RJDBKTED" hidden="1">#REF!</definedName>
    <definedName name="BExEQQU3XAHMTS15XAMBBHUB2VU3" hidden="1">#REF!</definedName>
    <definedName name="BExEQUVO8BV2YELMKGSD1TONV1FX" hidden="1">#REF!</definedName>
    <definedName name="BExER1RV5FAIMCY7BZ74MWQPS9KK" hidden="1">#REF!</definedName>
    <definedName name="BExERKCSIRIWH31G8W2Q6YU6R85G" hidden="1">#REF!</definedName>
    <definedName name="BExERT1P60UKSZ6RTUFUHUDMAU1U" hidden="1">#REF!</definedName>
    <definedName name="BExERWCEBKQRYWRQLYJ4UCMMKTHG" hidden="1">[5]Table!#REF!</definedName>
    <definedName name="BExES4A8M291QH0AN29PIFC73H2C" hidden="1">#REF!</definedName>
    <definedName name="BExESEMDSCFOSOU1A4Z5AK1H43PT" hidden="1">#REF!</definedName>
    <definedName name="BExETGJCPXXIK3ALW5ECQ6IOAJAQ" hidden="1">#REF!</definedName>
    <definedName name="BExETZ9MUZREMVNVGK8F0BRNETLT" hidden="1">#REF!</definedName>
    <definedName name="BExEUKP1JT4CN079WGVA12X9AZON" hidden="1">#REF!</definedName>
    <definedName name="BExEV2Z656OX6I2TOHZEVFKX82R3" hidden="1">#REF!</definedName>
    <definedName name="BExEWFIYO5QXO5543TPTE4NNIBZI" hidden="1">#REF!</definedName>
    <definedName name="BExEWITM7VZY3J71OMKSGCIC4GGX" hidden="1">#REF!</definedName>
    <definedName name="BExEWLYZ42WNTTNBW6AT1JWSYCPE" hidden="1">#REF!</definedName>
    <definedName name="BExEY60NV6LOHNNYJPFYXMJ5ICI5" hidden="1">#REF!</definedName>
    <definedName name="BExEYQUBGBAVBS8UTEEE4SWFSJIE" hidden="1">#REF!</definedName>
    <definedName name="BExEZG0RJJT8B9OGQUCQ9UTCYROK" hidden="1">#REF!</definedName>
    <definedName name="BExEZHIK8PZ88ET6BQMTSJR5VFFK" hidden="1">#REF!</definedName>
    <definedName name="BExF0756M380NHAR37EMXSOTISZB" hidden="1">#REF!</definedName>
    <definedName name="BExF0CDW4PAYP7S1EUR8MBXRHTUQ" hidden="1">#REF!</definedName>
    <definedName name="BExF0ES91WB9ON9YNS5L99NU0TQ6" hidden="1">#REF!</definedName>
    <definedName name="BExF0R7WVFFAPBUKRNLY2W0Z7PML" hidden="1">#REF!</definedName>
    <definedName name="BExF2NEH4IYXM5FRAB4RP5E9UMUV" hidden="1">#REF!</definedName>
    <definedName name="BExF2O5JE3KIY9XU5B59P4JNXIUU" hidden="1">#REF!</definedName>
    <definedName name="BExF2RQZ6DHZ9UQVTR6JD1WHDCB7" hidden="1">#REF!</definedName>
    <definedName name="BExF2XLCK4PANTBV2W8EUF4R8GJM" hidden="1">#REF!</definedName>
    <definedName name="BExF388GLC4VT0B9DWIFFI4W91M7" hidden="1">#REF!</definedName>
    <definedName name="BExF4H6PJWKE4GF7HJ058DNSTA74" hidden="1">#REF!</definedName>
    <definedName name="BExF56TARG8TFSG6G1NEYKSCJC6E" hidden="1">#REF!</definedName>
    <definedName name="BExF5POX87K5WIPC9PPIR2YX7USH" hidden="1">#REF!</definedName>
    <definedName name="BExF5YDU2AOTP8NKU60QMOVHG319" hidden="1">#REF!</definedName>
    <definedName name="BExF61J55U6A6TMY75YV1EO99LZW" hidden="1">#REF!</definedName>
    <definedName name="BExF6RGF10I02PY0UKPD82LZ4SI9" hidden="1">#REF!</definedName>
    <definedName name="BExF7LVGSCE4ON1UG2XFH01M1SKB" hidden="1">#REF!</definedName>
    <definedName name="BExGKTBZDF71DSYYRTV8WJ9A12DB" hidden="1">#REF!</definedName>
    <definedName name="BExGL7PUPT3A09EJ20PQCVW4IBVV" hidden="1">#REF!</definedName>
    <definedName name="BExGL8X0NEXPSTNON9I4LLJ38YQD" hidden="1">#REF!</definedName>
    <definedName name="BExGMULZWLCMES5KG6AQ0F5SBL97" hidden="1">#REF!</definedName>
    <definedName name="BExGN71MRK1SQ7GX1S1ITDUJYSOV" hidden="1">#REF!</definedName>
    <definedName name="BExGNA1QG26FZMXE3BIZGC7JI05O" hidden="1">#REF!</definedName>
    <definedName name="BExGNPXEYH1ARSMWPOXUNAXG67NI" hidden="1">#REF!</definedName>
    <definedName name="BExGNQ86WCOO0W4MG4YZL03UXNNZ" hidden="1">#REF!</definedName>
    <definedName name="BExGNQJ67PEPESHZMD70PA4RX4L0" hidden="1">#REF!</definedName>
    <definedName name="BExGNZO5GT2KS068E4DFNG0VKQ34" hidden="1">#REF!</definedName>
    <definedName name="BExGOP58I0B59A1F4VFZFSVDSR0M" hidden="1">#REF!</definedName>
    <definedName name="BExGOVVYQIX0IDUNJGCZPUF64WMY" hidden="1">#REF!</definedName>
    <definedName name="BExGOYVTWL66SAQCNZWWX39OKNJP" hidden="1">#REF!</definedName>
    <definedName name="BExGP32XC405IK7F9D43C6QT1103" hidden="1">#REF!</definedName>
    <definedName name="BExGPEBG83E6TTFZPZUQ6O42H3Z3" hidden="1">#REF!</definedName>
    <definedName name="BExGPI7QGPTF4ZNKS3H6GLVIN6RO" hidden="1">#REF!</definedName>
    <definedName name="BExGPVUQLWTP17K073UKC8H3GGUO" hidden="1">#REF!</definedName>
    <definedName name="BExGQ01MBL29SYKAEIPG6I8L9W9O" hidden="1">#REF!</definedName>
    <definedName name="BExGQ96REOMRFZOVLI0AW58I8ROG" hidden="1">#REF!</definedName>
    <definedName name="BExGQDZESYA64VPCC5HZ71OXNYR6" hidden="1">#REF!</definedName>
    <definedName name="BExGQMOB370XKV5WYRUDIPIOMX1G" hidden="1">#REF!</definedName>
    <definedName name="BExGRB3K9BKVXG596H3UWMBBJ6WH" hidden="1">#REF!</definedName>
    <definedName name="BExGRDSOS0Q7EJNLX4DK7KHFM0SW" hidden="1">#REF!</definedName>
    <definedName name="BExGRGCBF933F1GW01K6AA8P9VHB" hidden="1">#REF!</definedName>
    <definedName name="BExGRK8LPKZW0XLR135EMVNDNE4K" hidden="1">#REF!</definedName>
    <definedName name="BExGRRKZIEI9LK9VB0XL37Q3K1RD" hidden="1">#REF!</definedName>
    <definedName name="BExGRT2ZIHMS71UICCJBDB2SII7P" hidden="1">#REF!</definedName>
    <definedName name="BExGSFPGX1WF0XUPOCFBC4F0O2Y6" hidden="1">#REF!</definedName>
    <definedName name="BExGT2HJ2S0O7CV66P6G4C0WV2ZD" hidden="1">#REF!</definedName>
    <definedName name="BExGT9Z9UKAIT4742D0X8IFNQEQN" hidden="1">#REF!</definedName>
    <definedName name="BExGUMDOEIFFCED0EQ58LKKQLJJM" hidden="1">#REF!</definedName>
    <definedName name="BExGUXM7LDK5WM1TWRF47RR52Z9J" hidden="1">#REF!</definedName>
    <definedName name="BExGUYIQVWGZYLFR72WQBHTH1AKY" hidden="1">#REF!</definedName>
    <definedName name="BExGV89DKKGKR37U4VAQI9BK7GPV" hidden="1">#REF!</definedName>
    <definedName name="BExGVN3D6JGAEOJ06WKX29OQH5NB" hidden="1">#REF!</definedName>
    <definedName name="BExGVNOXU8YESXFOPAUZORKFNZ0R" hidden="1">#REF!</definedName>
    <definedName name="BExGVR530WPCG2DR9B5MBVRN4ZQR" hidden="1">#REF!</definedName>
    <definedName name="BExGVXFOFKI1I7T9SOSUMW9O6IUG" hidden="1">#REF!</definedName>
    <definedName name="BExGWI9HTF297C5787GJE874S3E3" hidden="1">#REF!</definedName>
    <definedName name="BExGWIKA9NAKIETPEKGQGK27JRB7" hidden="1">#REF!</definedName>
    <definedName name="BExGWNYFQT24C7A6SEOF3O67HKED" hidden="1">#REF!</definedName>
    <definedName name="BExGWTNH7D4VA7IOJWASSYYZ9Y4X" hidden="1">#REF!</definedName>
    <definedName name="BExGWYAN4ODLLHZ1QEY9T1I4UEG1" hidden="1">#REF!</definedName>
    <definedName name="BExGXC8F0PHBQE6W60AVLURG4XS3" hidden="1">#REF!</definedName>
    <definedName name="BExGXM4HEQUK1A9494VB5FK4WZQJ" hidden="1">#REF!</definedName>
    <definedName name="BExGY2LRDGIRV1F4C3YO3WKBKE9E" hidden="1">#REF!</definedName>
    <definedName name="BExGYJDZM6PEB4B7RB8ZXIQVU5U7" hidden="1">#REF!</definedName>
    <definedName name="BExGYOS7WP30R61FMT97HZMVE0DU" hidden="1">#REF!</definedName>
    <definedName name="BExGZ9RGU5NJ5FHAKX6MUS81THU2" hidden="1">#REF!</definedName>
    <definedName name="BExGZIAX285VSISPAPNIT0D4KXV7" hidden="1">#REF!</definedName>
    <definedName name="BExGZN3J07V7RWPUFI3FH1REEVH2" hidden="1">#REF!</definedName>
    <definedName name="BExH0883TDT5XQHTNTZP62ITSY5L" hidden="1">#REF!</definedName>
    <definedName name="BExH0N2AM02MOT9M29P5JDMWLDLJ" hidden="1">#REF!</definedName>
    <definedName name="BExH0W7BEKW8TT4RJW6QZJOGZZZ9" hidden="1">#REF!</definedName>
    <definedName name="BExH0YWDWQCOMV8UGC2N0E2DVUA0" hidden="1">#REF!</definedName>
    <definedName name="BExH1LTW3RZSINS2G2JUVEXAP7J9" hidden="1">#REF!</definedName>
    <definedName name="BExH1TROYMNRWIPBRYNFTDTUU6XV" hidden="1">#REF!</definedName>
    <definedName name="BExH1Y436DU31781SMG7SF2RAYMH" hidden="1">#REF!</definedName>
    <definedName name="BExH2G8Y84GAQ00GYYBH56ZKAD29" hidden="1">#REF!</definedName>
    <definedName name="BExH2JZS0A18V9M2W1D558NWIT9Z" hidden="1">#REF!</definedName>
    <definedName name="BExH2UMUZAGIW7FQ8OWQE560OD5U" hidden="1">#REF!</definedName>
    <definedName name="BExH34IWWH1EJ1L599MM2R060203" hidden="1">#REF!</definedName>
    <definedName name="BExIFSCNLG9GQ7NWLDZGB3C37PJ8" hidden="1">#REF!</definedName>
    <definedName name="BExIGEJ18COKXS1WD758ESB526ZQ" hidden="1">#REF!</definedName>
    <definedName name="BExIGLF8NSP4FILNCJQCRWXOWBYE" hidden="1">#REF!</definedName>
    <definedName name="BExIHSA4TBTDF2JC3I216GPIO418" hidden="1">#REF!</definedName>
    <definedName name="BExIIN5BBQNCPN07RSLDWR87RSL4" hidden="1">#REF!</definedName>
    <definedName name="BExIJ132TWGK6YG5ASNOSHQ1AR0N" hidden="1">#REF!</definedName>
    <definedName name="BExIJ5KY5T65H02D5F27K9D2882D" hidden="1">#REF!</definedName>
    <definedName name="BExIJSIAABMCVXYY3BX037LHUFSV" hidden="1">#REF!</definedName>
    <definedName name="BExIJY7AEG0ES22K3IKABAP4O0G9" hidden="1">#REF!</definedName>
    <definedName name="BExIKAHNTEDBAKQD5HS7DA3NAVCN" hidden="1">#REF!</definedName>
    <definedName name="BExIKB37VRREI90S0EJIBAC6JWDJ" hidden="1">#REF!</definedName>
    <definedName name="BExIKB38KISNMJ81MCXKJ5C49GMM" hidden="1">#REF!</definedName>
    <definedName name="BExIKVBHLYYG9Y0535WP1388AEMM" hidden="1">#REF!</definedName>
    <definedName name="BExIL1GPPXK1ACYW18MQ74YUZLZL" hidden="1">#REF!</definedName>
    <definedName name="BExIMMPDS9J9QCQNRYSBC5P89BW4" hidden="1">#REF!</definedName>
    <definedName name="BExIN1ZNBMTSNZOX7WRN6CE3KX7O" hidden="1">#REF!</definedName>
    <definedName name="BExINT42KCYW3F4G6CQRMF9WNF5E" hidden="1">#REF!</definedName>
    <definedName name="BExINTV2FQCEH5EWMVKN50UP6RCA" hidden="1">#REF!</definedName>
    <definedName name="BExIOCQOM8XFL6BKCEL7POXZTN1F" hidden="1">#REF!</definedName>
    <definedName name="BExIODHRINDT43MXFN6MHENXLM4X" hidden="1">#REF!</definedName>
    <definedName name="BExIOHOTMLB6SDX2TZWO5Y0170NQ" hidden="1">#REF!</definedName>
    <definedName name="BExIP1M80NIM4WB2LDHH3H3DV159" hidden="1">#REF!</definedName>
    <definedName name="BExIP7B8JHXTTHPT3AZ42GXA8J0T" hidden="1">#REF!</definedName>
    <definedName name="BExIPS55W4TMWUU52W7UB10SEV24" hidden="1">#REF!</definedName>
    <definedName name="BExIPZXPFGGGT0XPSKTX3M2DHG3K" hidden="1">#REF!</definedName>
    <definedName name="BExIQ9Z3BBWQ62W911ADALYUKFBN" hidden="1">#REF!</definedName>
    <definedName name="BExIQZAQZBMAK4L5QEMELKA5UU2T" hidden="1">#REF!</definedName>
    <definedName name="BExIR13HB90XF2375OTM9JTIGDW3" hidden="1">#REF!</definedName>
    <definedName name="BExIRB4TYBEBTDJ4B08Z2DMCL4WK" hidden="1">#REF!</definedName>
    <definedName name="BExIRMOATN8Q0NUX89RKYXWME6Y6" hidden="1">#REF!</definedName>
    <definedName name="BExISCWCBLRDNLIVHDOHN3T1M9XO" hidden="1">#REF!</definedName>
    <definedName name="BExISM6TWLM6TNV8KL5OZSVC04XN" hidden="1">#REF!</definedName>
    <definedName name="BExISWZA1ELIM3WKI41X4LIXOG2J" hidden="1">#REF!</definedName>
    <definedName name="BExISY6DTZJ7ZYR30DSI274CB66F" hidden="1">#REF!</definedName>
    <definedName name="BExITO94450BVN8RYOKD2JN8U9R2" hidden="1">#REF!</definedName>
    <definedName name="BExITW1GAU8RV2BU063KQAL93VTM" hidden="1">#REF!</definedName>
    <definedName name="BExIV1EFOS9PE924V63H8DRVVGMK" hidden="1">#REF!</definedName>
    <definedName name="BExIV3SRDLIS5AG094UIXWEWX89L" hidden="1">#REF!</definedName>
    <definedName name="BExIVDJDJPA06C08B2HTOK01V2SV" hidden="1">#REF!</definedName>
    <definedName name="BExIVDUAEPXB0P6MCSU7DEW5Y1H9" hidden="1">#REF!</definedName>
    <definedName name="BExIWDNKVHXAQ44L8RWW1V0ZP0CB" hidden="1">#REF!</definedName>
    <definedName name="BExIX8DH06R6MIPNDMS8C1D75WVN" hidden="1">#REF!</definedName>
    <definedName name="BExIXCPTI2CN7M7EPE2LED9IJ3VU" hidden="1">#REF!</definedName>
    <definedName name="BExIYAL0VMQGKFFVN1T7VWQKNWMZ" hidden="1">#REF!</definedName>
    <definedName name="BExIYDVPO634D59QSH0RFYGLDKXI" hidden="1">#REF!</definedName>
    <definedName name="BExIYMPXXQS0SUMRAR0X4DFX9L3X" hidden="1">#REF!</definedName>
    <definedName name="BExIZ4JZNGOTMWCNWSFVU06OUADJ" hidden="1">#REF!</definedName>
    <definedName name="BExJ089JBIW4PJ5ZH62SJNVGGPAF" hidden="1">#REF!</definedName>
    <definedName name="BExKDIF6IABL0T9C3LB4LNXVKM6Y" hidden="1">#REF!</definedName>
    <definedName name="BExKDJ0QDM7ON4YTMFBXPIQG9PA6" hidden="1">#REF!</definedName>
    <definedName name="BExKDPWW8QD8CRGSF2XWVO3DDK6R" hidden="1">#REF!</definedName>
    <definedName name="BExKDTYHRXQZH422L1NBY0TKVE08" hidden="1">#REF!</definedName>
    <definedName name="BExKET6DS0Q7PTF696QGZENT7L7S" hidden="1">#REF!</definedName>
    <definedName name="BExKFME7ZHRLFXI3XOR6DY7E8WFL" hidden="1">#REF!</definedName>
    <definedName name="BExKGXQVAW24MAW99S4EQN839WND" hidden="1">#REF!</definedName>
    <definedName name="BExKGXWCLVDO3WXXI5A3MKKZRAH4" hidden="1">#REF!</definedName>
    <definedName name="BExKGZ8ZBGXS5DMHLSJHGR7TNB0L" hidden="1">#REF!</definedName>
    <definedName name="BExKH055Q98RITR8GDLSMDQ5FAMN" hidden="1">#REF!</definedName>
    <definedName name="BExKH1CIA0ZMN8B8O7LRDGP0QBD1" hidden="1">#REF!</definedName>
    <definedName name="BExKHHZ8T9I7XQZ9ID6U4A4L297G" hidden="1">#REF!</definedName>
    <definedName name="BExKHIVN3VGT71SINPUYJKLSS0DE" hidden="1">#REF!</definedName>
    <definedName name="BExKI15M6CIYLZ7PBIJ72S95YW5D" hidden="1">#REF!</definedName>
    <definedName name="BExKI1LVE525T7XTIR6B1F0XPD9Y" hidden="1">#REF!</definedName>
    <definedName name="BExKI93LSP4CD7FS1I8MVP86OZO3" hidden="1">#REF!</definedName>
    <definedName name="BExKIGQOF4B4XXZW8E51IZXY2IMA" hidden="1">#REF!</definedName>
    <definedName name="BExKIJL9JU2XHXMP2IHEEL8LB1CV" hidden="1">#REF!</definedName>
    <definedName name="BExKIQXIZCVP69Q8IVGFM61WAC9G" hidden="1">#REF!</definedName>
    <definedName name="BExKIR8BAOGW2K0IZEI1IMD85AI9" hidden="1">#REF!</definedName>
    <definedName name="BExKIWH88H3M589D1O6NIU7E3AA5" hidden="1">#REF!</definedName>
    <definedName name="BExKIYKQN6TGSM5YGT3PSWIMORQK" hidden="1">#REF!</definedName>
    <definedName name="BExKJ97OZXZ090Z57LUNGQ2NEXHS" hidden="1">#REF!</definedName>
    <definedName name="BExKKIM8G6EXTHT715137V748VCU" hidden="1">#REF!</definedName>
    <definedName name="BExKKSYFSZAZ3UA73DIYBC89NH94" hidden="1">#REF!</definedName>
    <definedName name="BExKLEOQEOAZ2NT6IRTG0TJDYW5A" hidden="1">#REF!</definedName>
    <definedName name="BExKM6UYO6FJ8DG5G28TZGWUKWPN" hidden="1">#REF!</definedName>
    <definedName name="BExKMLOZD73TMEHEQT6FKYWNW6OY" hidden="1">#REF!</definedName>
    <definedName name="BExKO13BDZUCEXQ1ONXB2RPB9O0B" hidden="1">#REF!</definedName>
    <definedName name="BExKO7ZHNTYXYU09UMYSQ7U1QZOM" hidden="1">#REF!</definedName>
    <definedName name="BExKO84RYCRRKQYHMY4NU3GKLR5G" hidden="1">#REF!</definedName>
    <definedName name="BExKOUB7WGW9L7RHHE2WC48HXMBW" hidden="1">#REF!</definedName>
    <definedName name="BExKOVT6ZWQ6YXSQ1FNCDAFQMPH2" hidden="1">#REF!</definedName>
    <definedName name="BExKPASNL4JK4V4V6FVFOGJOAV7F" hidden="1">#REF!</definedName>
    <definedName name="BExKQ82CCLI0OKKAFA5KSSMV6JPO" hidden="1">#REF!</definedName>
    <definedName name="BExKQD0985KGTF1AZH1G0QOESDBX" hidden="1">#REF!</definedName>
    <definedName name="BExKQDB2Q5CLTPKRDCPDUST9STBV" hidden="1">#REF!</definedName>
    <definedName name="BExKQTXYPAV48BBMJI3G23CXF9VS" hidden="1">#REF!</definedName>
    <definedName name="BExKR1VU3OTE9T2D971MOAFYR864" hidden="1">#REF!</definedName>
    <definedName name="BExKR2MU3BR65L5RJTNIL52S3KSG" hidden="1">#REF!</definedName>
    <definedName name="BExKRCTJ1GKWRK97PAT69RXS7GQK" hidden="1">#REF!</definedName>
    <definedName name="BExKRF2JXTUT2F4JW28KSXZEUI2L" hidden="1">#REF!</definedName>
    <definedName name="BExKRMET4E304C76YYCZ0KJWZR52" hidden="1">#REF!</definedName>
    <definedName name="BExKRXCQG4GVWARHDDJZV8E1QWI7" hidden="1">#REF!</definedName>
    <definedName name="BExKS9C4TBSPE6AEVW7TPZQU72U5" hidden="1">#REF!</definedName>
    <definedName name="BExKSBACIDCHT5QWEUVBKTSERBHN" hidden="1">#REF!</definedName>
    <definedName name="BExKSBFN9QXNBS3XYHHDSHVNJ4EZ" hidden="1">#REF!</definedName>
    <definedName name="BExKSKQ5ABJ0M1JQ05ZG5B6T2SAX" hidden="1">#REF!</definedName>
    <definedName name="BExKSRMH152QQQZP54WQWNW46E3R" hidden="1">#REF!</definedName>
    <definedName name="BExKTL55QO2BFRJX3YPGPWCGUWMH" hidden="1">#REF!</definedName>
    <definedName name="BExKTS6MRO497UK1JMOFCIAYV0UL" hidden="1">#REF!</definedName>
    <definedName name="BExKU0F98S6OBTSYNJUSK1IH57V2" hidden="1">#REF!</definedName>
    <definedName name="BExKU2DHFJB120P71QCBIWRKORFU" hidden="1">#REF!</definedName>
    <definedName name="BExKU7BFGP8EZ7OY6YD7RHDAX3ZI" hidden="1">#REF!</definedName>
    <definedName name="BExKU9EZ1G51W6VNUEDEN5GVXZDJ" hidden="1">#REF!</definedName>
    <definedName name="BExKUCEVDYXSXUSJYLW2UQPP3041" hidden="1">#REF!</definedName>
    <definedName name="BExKUO945GXOUUXBP7ISRLXF8XWY" hidden="1">#REF!</definedName>
    <definedName name="BExKUX3D52QOXSRVX9YIBJZBGGUP" hidden="1">#REF!</definedName>
    <definedName name="BExKUXJMFFHODTF4KEZ9XNU8GY4T" hidden="1">#REF!</definedName>
    <definedName name="BExKW78XL7Z77M6UA9OM9H7UIQEC" hidden="1">#REF!</definedName>
    <definedName name="BExM9M1Q2W5I3QHNH1CW08CY7MQ8" hidden="1">#REF!</definedName>
    <definedName name="BExMAAMG6K3CZCGPL3MESVL3VX79" hidden="1">#REF!</definedName>
    <definedName name="BExMBAFRK6Z1Z6DVIG9I4N6S9ZIB" hidden="1">#REF!</definedName>
    <definedName name="BExMBTM94LLY9L4IIIZPFSIJ48V5" hidden="1">#REF!</definedName>
    <definedName name="BExMBWBE3ASQRLN2U5RMGIIC2J04" hidden="1">#REF!</definedName>
    <definedName name="BExMBYPQDG9AYDQ5E8IECVFREPO6" hidden="1">[5]Table!#REF!</definedName>
    <definedName name="BExMCB03WO7ZNKYKH6CNXVZDO6PI" hidden="1">#REF!</definedName>
    <definedName name="BExMDDT8RRVBGR0ZN0IH0V922V83" hidden="1">#REF!</definedName>
    <definedName name="BExMEI4E6DKHRQACLMLT1RJA6GQC" hidden="1">#REF!</definedName>
    <definedName name="BExMEL4BJLJJIBPLZ6RCNNWW7ACX" hidden="1">#REF!</definedName>
    <definedName name="BExMEQIH2OGGMCCH44CD3AB7QXP4" hidden="1">#REF!</definedName>
    <definedName name="BExMEQII7N9MU9WD223KDT0AX80U" hidden="1">#REF!</definedName>
    <definedName name="BExMESRCLOXEL0LQ2D0X74ZZ983A" hidden="1">#REF!</definedName>
    <definedName name="BExMF4GB4DK7PXIG8KWZNWZPQU8G" hidden="1">#REF!</definedName>
    <definedName name="BExMFF38PLUZV6C25MTHN75TR7L6" hidden="1">#REF!</definedName>
    <definedName name="BExMFFU5NBEWPFOX92T0DH9BXPUZ" hidden="1">#REF!</definedName>
    <definedName name="BExMFFZMQEIBP09IT0TXWLQSLNX5" hidden="1">#REF!</definedName>
    <definedName name="BExMGMZU80CK0NY0Z6BLL9HCXD4T" hidden="1">#REF!</definedName>
    <definedName name="BExMH5A0RSQF2JD5NCODS9ZV7R9O" hidden="1">#REF!</definedName>
    <definedName name="BExMHC0PCKKMI6S32RPALB6T8EKS" hidden="1">#REF!</definedName>
    <definedName name="BExMHLRBD4LM3LDXPRUKERV94MP7" hidden="1">#REF!</definedName>
    <definedName name="BExMIOVGDVPXPK8RC46T5Q3OCSNO" hidden="1">#REF!</definedName>
    <definedName name="BExMJ2CT4X3O2UX9QUZ79B9C9HHW" hidden="1">#REF!</definedName>
    <definedName name="BExMJA5I0J3LWR8TTNA3L1Y2J6CI" hidden="1">#REF!</definedName>
    <definedName name="BExMJALL604AACW6Q8OWP9XEK09U" hidden="1">#REF!</definedName>
    <definedName name="BExMJE1S3TIP95BTSP0OFCELLJ3F" hidden="1">#REF!</definedName>
    <definedName name="BExMJV4MCDEJ4I5ADXAULWTC7WL6" hidden="1">#REF!</definedName>
    <definedName name="BExMKHGDHNJYHQYZAOGKW9UP0P6R" hidden="1">#REF!</definedName>
    <definedName name="BExMKHWM7Y8URWYDQCWQYVCF91RF" hidden="1">#REF!</definedName>
    <definedName name="BExML4OMPAISD5FNMEUEAQW3PYWW" hidden="1">#REF!</definedName>
    <definedName name="BExMLAZ93ST930F6UHXOHJWBE94O" hidden="1">#REF!</definedName>
    <definedName name="BExMLP2C0LIAVLW0E0XWFGYO65A6" hidden="1">#REF!</definedName>
    <definedName name="BExMM8E5ESCQTA2N4CUCWT7W7U42" hidden="1">#REF!</definedName>
    <definedName name="BExMMCAFSQUVQIR2PI52U8HMBMHP" hidden="1">#REF!</definedName>
    <definedName name="BExMMMH9VP8UE0XB3HYO72H42F0P" hidden="1">#REF!</definedName>
    <definedName name="BExMNI3HZSDQ5FZ9K3LTEIESNLFC" hidden="1">#REF!</definedName>
    <definedName name="BExMNTSBIZHLJ0KYWW82CNEAD2O8" hidden="1">#REF!</definedName>
    <definedName name="BExMO26EZ4S5N6CXHP9GE6NNQL29" hidden="1">#REF!</definedName>
    <definedName name="BExMOO7E8O2SB2DSYLRLXG17OVIL" hidden="1">#REF!</definedName>
    <definedName name="BExMP78G1ZV9STVU8QDMDHAXOMBU" hidden="1">#REF!</definedName>
    <definedName name="BExMP8QL86LEK79Z3F1BSJ6O6UNU" hidden="1">#REF!</definedName>
    <definedName name="BExMPK4EB9VGFKHXXFPWKXBKK3XN" hidden="1">#REF!</definedName>
    <definedName name="BExMPRGU05RDRLSIYN3S5G2KUR51" hidden="1">#REF!</definedName>
    <definedName name="BExMPRM49M4N5G6W5PP4FT6M5A44" hidden="1">#REF!</definedName>
    <definedName name="BExMPZUYC3HNAV16OKFIPED8Q0AW" hidden="1">#REF!</definedName>
    <definedName name="BExMRHSX345WVR1IL3HYFAYVD4UY" hidden="1">#REF!</definedName>
    <definedName name="BExMRPAMY96Y7Y71AWG3BLE6IJCS" hidden="1">#REF!</definedName>
    <definedName name="BExMS32YZKWV4BPULRP99EJMNP1M" hidden="1">#REF!</definedName>
    <definedName name="BExMSBRVBJ3Z9LD2LU5ANL7KRX3B" hidden="1">#REF!</definedName>
    <definedName name="BExO5CC849MT8ARJLFABIL0Q9LSW" hidden="1">#REF!</definedName>
    <definedName name="BExO5UGWXHZ82I1L2SCZBD23SH38" hidden="1">#REF!</definedName>
    <definedName name="BExO68UTJRCDYGZJH3XHD8OHBHVJ" hidden="1">#REF!</definedName>
    <definedName name="BExO7AX3YC80J2DL71QDC705PVIZ" hidden="1">#REF!</definedName>
    <definedName name="BExO7RUNA6G6JRE5ZUYA9LFFD78R" hidden="1">#REF!</definedName>
    <definedName name="BExO7TY5G586OBI3LIWCHH74HTRG" hidden="1">#REF!</definedName>
    <definedName name="BExO7VWE21NXNAIVJ91UHK5F6TZI" hidden="1">#REF!</definedName>
    <definedName name="BExO8EHCHKVYRQ58HT0JWI4ACOG4" hidden="1">#REF!</definedName>
    <definedName name="BExO8X2AOSI2KZWI1XFE2O9UBR5W" hidden="1">#REF!</definedName>
    <definedName name="BExO92WMUT1H1W7VASQTZOQHITQ9" hidden="1">#REF!</definedName>
    <definedName name="BExO94JVB20Y1P7YJS3GLJ4THXG2" hidden="1">#REF!</definedName>
    <definedName name="BExO96CLR91WZOFIPD90VW3WV6U3" hidden="1">#REF!</definedName>
    <definedName name="BExO9AUGF1S1XM29IPOFAXSDEI9L" hidden="1">#REF!</definedName>
    <definedName name="BExO9PJ6MPU3R4MVLCN4W229P6ZW" hidden="1">#REF!</definedName>
    <definedName name="BExOA7D7798O45GM7XOQFDWVRBAT" hidden="1">#REF!</definedName>
    <definedName name="BExOA7IJ23W7XNV3GU10ZPENBLJT" hidden="1">#REF!</definedName>
    <definedName name="BExOAO5B04JODD2WS1FNL538LR22" hidden="1">#REF!</definedName>
    <definedName name="BExOB9FCA6QID7VX7HISELZUXKL5" hidden="1">#REF!</definedName>
    <definedName name="BExOB9VLC7WMXL722U8P2V5LH2NH" hidden="1">#REF!</definedName>
    <definedName name="BExOBDX6KBVGXKRM6ZSR2B6LOYBB" hidden="1">#REF!</definedName>
    <definedName name="BExOCHHEGYAGVPT5VBTI4NSSWBUY" hidden="1">#REF!</definedName>
    <definedName name="BExOCJ4OTOZKME94LKOM397339A3" hidden="1">#REF!</definedName>
    <definedName name="BExOCVKJ7GUBDR3WJGJJW20L0XWE" hidden="1">#REF!</definedName>
    <definedName name="BExOCZBAV8IDF4O2S4RSK8YYPR8X" hidden="1">#REF!</definedName>
    <definedName name="BExOD4EQJRAPPXZQDMKII0H4TMO6" hidden="1">#REF!</definedName>
    <definedName name="BExODFHYRRZA0BEPQWYFFA4EV9LM" hidden="1">#REF!</definedName>
    <definedName name="BExODS8ERXM3RICHV115E26P3Y48" hidden="1">#REF!</definedName>
    <definedName name="BExOE7YZT8QOZXG0M7MHWCBQGNCI" hidden="1">#REF!</definedName>
    <definedName name="BExOETJNKEVZUG2DO5NR39RAQU3B" hidden="1">#REF!</definedName>
    <definedName name="BExOFK7YHUHSDJ9EAMZG8CS72ONN" hidden="1">#REF!</definedName>
    <definedName name="BExOFTT8H5F7EZ808OW45OHMES5E" hidden="1">#REF!</definedName>
    <definedName name="BExOG33PAMDO5R2LDQNV1H5DMWQQ" hidden="1">#REF!</definedName>
    <definedName name="BExOGY4C9I55IMSCAZL61C3XVCWN" hidden="1">#REF!</definedName>
    <definedName name="BExOHDPDQR1RZDCVUD9LOKINOXXO" hidden="1">#REF!</definedName>
    <definedName name="BExOII5ZNYGQKK19R33SK45W0LFP" hidden="1">#REF!</definedName>
    <definedName name="BExOJ2UC54CGO87WU0H93W3EKEGE" hidden="1">#REF!</definedName>
    <definedName name="BExOJE31H2VK90A2D3BSQC8JASBU" hidden="1">#REF!</definedName>
    <definedName name="BExOJM0UTN2ZZVCVNA0DZTQ8AVZ0" hidden="1">#REF!</definedName>
    <definedName name="BExOJS0OH924FOL1XC6453EYFQYG" hidden="1">#REF!</definedName>
    <definedName name="BExOJWTAJAOZIL7ZJTRRL2P569S2" hidden="1">#REF!</definedName>
    <definedName name="BExOKIUF6M7TFG2TJMPH482L5MXE" hidden="1">#REF!</definedName>
    <definedName name="BExOM5VTHOCLXMZ3MVAM9DQPVOVE" hidden="1">#REF!</definedName>
    <definedName name="BExOMCH6QSV8ET618TQL6F3VA1DL" hidden="1">#REF!</definedName>
    <definedName name="BExON4Y1QDIQ3FDF4SAXEB085BAS" hidden="1">#REF!</definedName>
    <definedName name="BExONB3AZQ9MQQISW85GQVJF8DEY" hidden="1">#REF!</definedName>
    <definedName name="BExOOEI2TR4KUP7BZKI4X67FVJQJ" hidden="1">#REF!</definedName>
    <definedName name="BExOQ2FZ58YOWP2ZISLJP3T5XHKR" hidden="1">#REF!</definedName>
    <definedName name="BExQ156BWVBSWGJH6PVEXCOAMY3O" hidden="1">#REF!</definedName>
    <definedName name="BExQ2T4A8P59208MUE05P3N23M50" hidden="1">#REF!</definedName>
    <definedName name="BExQ300F0ZA8M4HAQKTXQCUUT128" hidden="1">#REF!</definedName>
    <definedName name="BExQ3B3NITAHO9W8NBNRN7KGDYK5" hidden="1">#REF!</definedName>
    <definedName name="BExQ3TDUBZO015AMYNT71U51IBLS" hidden="1">#REF!</definedName>
    <definedName name="BExQ3ZZ749CHW2IX4GQRM3297JRW" hidden="1">#REF!</definedName>
    <definedName name="BExQ41RXQUTAKY303CI1W390WDML" hidden="1">#REF!</definedName>
    <definedName name="BExQ4YQO1WSJIQZ20MN7L50JBXAQ" hidden="1">#REF!</definedName>
    <definedName name="BExQ5LIO5T7BGU7GVOFN99M4NAGL" hidden="1">#REF!</definedName>
    <definedName name="BExQ613QQQT2MZJU3VFAMUG159HC" hidden="1">#REF!</definedName>
    <definedName name="BExQ643M9E8ECWASM9Q2TC2SMMPK" hidden="1">#REF!</definedName>
    <definedName name="BExQ6V2NKDMMMZY25R5ZIXEXXBDK" hidden="1">#REF!</definedName>
    <definedName name="BExQ71O1DK6VVG12QA1Y8I3AM03V" hidden="1">#REF!</definedName>
    <definedName name="BExQ783YMUYLC3L2T026SSHL1MBB" hidden="1">#REF!</definedName>
    <definedName name="BExQ79R72GWSJAKSNP6ESU73CAUD" hidden="1">#REF!</definedName>
    <definedName name="BExQ82OHD80MLEMRKRTES33ALX4R" hidden="1">#REF!</definedName>
    <definedName name="BExQ8AMC86XYV2QV7GNNWBZW6P2K" hidden="1">#REF!</definedName>
    <definedName name="BExQ92XV0R3MDAKAVUVYMF88K8L6" hidden="1">#REF!</definedName>
    <definedName name="BExQ9AFMVSQA6RNJMBXXDLS610SY" hidden="1">#REF!</definedName>
    <definedName name="BExQ9PVCECPAF0ULXO5FZX9O1VB6" hidden="1">#REF!</definedName>
    <definedName name="BExQ9TRFQKL9TI1AMQP0YDCKSORF" hidden="1">#REF!</definedName>
    <definedName name="BExQ9XD4RJ97V0ZB00MENZ4IH3WK" hidden="1">#REF!</definedName>
    <definedName name="BExQ9ZLYHWABXAA9NJDW8ZS0UQ9P" hidden="1">[5]Table!#REF!</definedName>
    <definedName name="BExQA0T3SO87VS1WLNXE1L1NSK6I" hidden="1">#REF!</definedName>
    <definedName name="BExQA1UY04FSSTOV02RO8D6YL0NC" hidden="1">#REF!</definedName>
    <definedName name="BExQA5AYHJCT3L5RR37Y0P2078UD" hidden="1">#REF!</definedName>
    <definedName name="BExQAHLB9VIWN0FFU3SWMN2BDUW3" hidden="1">#REF!</definedName>
    <definedName name="BExQAKAFUPFT9PHO840T5KQETJXG" hidden="1">#REF!</definedName>
    <definedName name="BExQAUBUFZ0SDRUKVZU0XVKRXQQV" hidden="1">#REF!</definedName>
    <definedName name="BExQAXXAGCUQ8Q1SBJHAB6REOYU1" hidden="1">#REF!</definedName>
    <definedName name="BExQB5PU92F0WPUFH0GXCYQRR0WP" hidden="1">#REF!</definedName>
    <definedName name="BExQBAIGS6LINOVUXDNAM0LGMGCH" hidden="1">#REF!</definedName>
    <definedName name="BExQBBETNL2MNBCNPFSITIJ7L53S" hidden="1">#REF!</definedName>
    <definedName name="BExQBM77XTIR3OT44H23SCHW8R9S" hidden="1">#REF!</definedName>
    <definedName name="BExQBYHMMV1OI14KZ2IN8Z6QYKV3" hidden="1">#REF!</definedName>
    <definedName name="BExQBZOR1MTZBGRUFQ9GAPTQXQ5D" hidden="1">#REF!</definedName>
    <definedName name="BExQC4XI99R8Q2BR0YED0U7EB0C2" hidden="1">#REF!</definedName>
    <definedName name="BExQC8J0702027QEZ76E0X55NAXO" hidden="1">#REF!</definedName>
    <definedName name="BExQCIVBEJCG95L2Z0SH2PPB008Y" hidden="1">#REF!</definedName>
    <definedName name="BExQCUK2VWQCMLG5ITF5Z2JRB7C2" hidden="1">#REF!</definedName>
    <definedName name="BExQDHS8MW9XM60F2UASGRP5MOW1" hidden="1">#REF!</definedName>
    <definedName name="BExQDKBV8F7ESU4Z42VOBHRQN8HV" hidden="1">#REF!</definedName>
    <definedName name="BExQDO844EBUQSKNB021GI1RLFED" hidden="1">#REF!</definedName>
    <definedName name="BExQE1EVM2HKRY7KVHGQODP88MMM" hidden="1">#REF!</definedName>
    <definedName name="BExQE3YOOMYK1LPA6JI3MHP0AFC4" hidden="1">#REF!</definedName>
    <definedName name="BExQE55O6P278RH20I3OVTP6J6BQ" hidden="1">#REF!</definedName>
    <definedName name="BExQETVWHCIDL5AX7KHG5NXN9F9C" hidden="1">#REF!</definedName>
    <definedName name="BExQEV31OPLG1GN3W96LI8OCML31" hidden="1">#REF!</definedName>
    <definedName name="BExQFLWNLF0XXJ4UHM5VC5TUSFSI" hidden="1">#REF!</definedName>
    <definedName name="BExQG88DX1G8KUA5TGHUDVNLI2X3" hidden="1">#REF!</definedName>
    <definedName name="BExQGABXC0YTGSW83OUTCVB8THBN" hidden="1">#REF!</definedName>
    <definedName name="BExQH4WG6NN3GUI49EA24UCA5TYU" hidden="1">#REF!</definedName>
    <definedName name="BExQI4V2VXVLRXE9CU0Y5AVZZH6X" hidden="1">#REF!</definedName>
    <definedName name="BExQICYIVK4OZ3O4B1O3D1Y5OYBN" hidden="1">#REF!</definedName>
    <definedName name="BExQIE5IEWAN3SFUOXCYYPGMDUAF" hidden="1">#REF!</definedName>
    <definedName name="BExQIRN7DZO6I24N1LSUVTL34CTI" hidden="1">#REF!</definedName>
    <definedName name="BExQK9AEQC0O67J5BIRXP7YW3DVJ" hidden="1">#REF!</definedName>
    <definedName name="BExRZWK5DCA42H9YX6X1R4H1VKUI" hidden="1">#REF!</definedName>
    <definedName name="BExS0MC210M9EVCQYB3UIFD4RPAW" hidden="1">#REF!</definedName>
    <definedName name="BExS0ZZ0WRI5QKI3X0S7SPK12T4Q" hidden="1">#REF!</definedName>
    <definedName name="BExS3FS8WZHCJBBE99IH63NXKTSF" hidden="1">#REF!</definedName>
    <definedName name="BExS3RRNR9AUZ8UX0K799QG4LKPU" hidden="1">#REF!</definedName>
    <definedName name="BExS4E3KFVCM2VSGASRMOKIO1KXA" hidden="1">#REF!</definedName>
    <definedName name="BExS4GHWWF6NENCTQBJ46AJ855PX" hidden="1">#REF!</definedName>
    <definedName name="BExS4UVSN3R26EOKU4J15Z7XMXK3" hidden="1">#REF!</definedName>
    <definedName name="BExS5ET9Y54353L1HGBIIL5X8R34" hidden="1">#REF!</definedName>
    <definedName name="BExS5U8TAYOTRY736ENJKB4RCBM3" hidden="1">#REF!</definedName>
    <definedName name="BExS5YLBSDZ023326KREF4IGU2NA" hidden="1">#REF!</definedName>
    <definedName name="BExS61L9D2TOVR737GB1FXYQL5GT" hidden="1">#REF!</definedName>
    <definedName name="BExS6WR7UV1MCWY23NPP8LRDH5TI" hidden="1">#REF!</definedName>
    <definedName name="BExS6XNKH39KSFMPP6D9GZLQ00F0" hidden="1">#REF!</definedName>
    <definedName name="BExS7JZC08NUIALQ228IYKL2X2E9" hidden="1">#REF!</definedName>
    <definedName name="BExS8CB0AF9DPBHURI2AUHEIH2HT" hidden="1">#REF!</definedName>
    <definedName name="BExS8DI5OTT28A4CAN4Y20GXEQVA" hidden="1">#REF!</definedName>
    <definedName name="BExS8HEGUY8QSGK0QM9939PAISX6" hidden="1">#REF!</definedName>
    <definedName name="BExS8UAEUEW48TCD2MGIYIDWKYMD" hidden="1">#REF!</definedName>
    <definedName name="BExS92ZAR7PTDXHRIQ0BPUH67BNX" hidden="1">#REF!</definedName>
    <definedName name="BExS9NIC8W4XND7OJO7TVK1QI9X6" hidden="1">#REF!</definedName>
    <definedName name="BExSAAFNGRBI0XX9JJ38F6UH1CZ8" hidden="1">#REF!</definedName>
    <definedName name="BExSABMUC2U4RZOTFW3PS1YQCDF4" hidden="1">#REF!</definedName>
    <definedName name="BExSB5LRO9VWZECR65Y8OAN9TH4F" hidden="1">#REF!</definedName>
    <definedName name="BExSBHLD5KBCF74U7QTC6MQJES02" hidden="1">#REF!</definedName>
    <definedName name="BExSBJ3B1H71M9ZWK2OOKLHCK0Q9" hidden="1">#REF!</definedName>
    <definedName name="BExSBQA8CJQ7GNDB4BT4I9OG3IKN" hidden="1">#REF!</definedName>
    <definedName name="BExSBUBTUOQ6M2TG48W1QBTA451V" hidden="1">#REF!</definedName>
    <definedName name="BExSBZVIS2FJASVSELRAC843GXI2" hidden="1">#REF!</definedName>
    <definedName name="BExSCRLH75T1B2OJ4SPIRQ1LM5Y4" hidden="1">#REF!</definedName>
    <definedName name="BExSE2CN9KWB2Y59H6FI4MDNM8MY" hidden="1">#REF!</definedName>
    <definedName name="BExSEEN1YMFWHAWHXNVZ02V4KDCS" hidden="1">#REF!</definedName>
    <definedName name="BExSER2QA2RF1SFRB9Z92OF9HVVI" hidden="1">#REF!</definedName>
    <definedName name="BExSEYKHGDCWSCN3YMRZOOQ7EO0B" hidden="1">#REF!</definedName>
    <definedName name="BExSF6NMUEBN1BBV8YVKLUVXEF3C" hidden="1">#REF!</definedName>
    <definedName name="BExSFQQIX3GFN5BVPJTJIXOQ9FES" hidden="1">#REF!</definedName>
    <definedName name="BExSFV8EE4IN8BOYWZZ6KQRIRR8L" hidden="1">#REF!</definedName>
    <definedName name="BExSG6MFDOI4TZQ8IAG48CXUMTGM" hidden="1">#REF!</definedName>
    <definedName name="BExSH5DZW8ZURUJRWFHIPNNE5AYB" hidden="1">#REF!</definedName>
    <definedName name="BExSHY5RWLP7948XZMPS8Y8TAK0D" hidden="1">#REF!</definedName>
    <definedName name="BExTTAS7TKMHKHRRGLYPXXM0DH91" hidden="1">#REF!</definedName>
    <definedName name="BExTTTYQXGDPW8IPWXZ4KMYE5OFV" hidden="1">#REF!</definedName>
    <definedName name="BExTUGW2UHYYDL2W3CPSM53REG6F" hidden="1">#REF!</definedName>
    <definedName name="BExTUVFGBQKB4T2ID89EHF0IIYDV" hidden="1">#REF!</definedName>
    <definedName name="BExTUXDJA1H1ZEB6JW19KV07OT33" hidden="1">#REF!</definedName>
    <definedName name="BExTUY9WNSJ91GV8CP0SKJTEIV82" hidden="1">[5]Table!#REF!</definedName>
    <definedName name="BExTV1KL46287AFKDYEYYLCUVSIQ" hidden="1">#REF!</definedName>
    <definedName name="BExTVBRE8K3A6HB6RBXYY1B01YIK" hidden="1">#REF!</definedName>
    <definedName name="BExTVEWSAS7Y948D75GGQ9VPHCU3" hidden="1">#REF!</definedName>
    <definedName name="BExTVJ3T4FAH5904NP9VVNJLVIKE" hidden="1">#REF!</definedName>
    <definedName name="BExTVSEAU44NV5OGO830QXFFOFSF" hidden="1">#REF!</definedName>
    <definedName name="BExTWMILCYG4D30D2WNZXM4KFS6F" hidden="1">#REF!</definedName>
    <definedName name="BExTWOGMTHPG8E5TU00PA8C58NZV" hidden="1">#REF!</definedName>
    <definedName name="BExTX3009G88164194NXQIPO7EBU" hidden="1">#REF!</definedName>
    <definedName name="BExTXIFM6NRX7VBM97QY3CFTNE2T" hidden="1">#REF!</definedName>
    <definedName name="BExTYPAJZ2YI4NP39WZQ7KRS8K78" hidden="1">#REF!</definedName>
    <definedName name="BExTYZS5IMS66EHVXPJXCV5HA2GX" hidden="1">#REF!</definedName>
    <definedName name="BExTZJUWVNQND717AOD5SU9LIH5D" hidden="1">#REF!</definedName>
    <definedName name="BExTZTWGEPC7ZOTLQDIEDZ8PHV0D" hidden="1">#REF!</definedName>
    <definedName name="BExU02VYGVMQCY9J7ZTMI0DINO9Q" hidden="1">#REF!</definedName>
    <definedName name="BExU054ZT8ZQRXRDZ7YGH3FPEDFY" hidden="1">#REF!</definedName>
    <definedName name="BExU0N9ULDXY9VJTXLZE95EB4ZPW" hidden="1">#REF!</definedName>
    <definedName name="BExU1ASR3SKCNL04NDU4Y96B4GNC" hidden="1">#REF!</definedName>
    <definedName name="BExU2YFQG056OZD6U8RUXLUZ1P3W" hidden="1">#REF!</definedName>
    <definedName name="BExU32HAVB4DHLRXDEOKERJWVMQQ" hidden="1">#REF!</definedName>
    <definedName name="BExU32MRPUZ6L3XSVEWISIBN8XSJ" hidden="1">#REF!</definedName>
    <definedName name="BExU3CIUOLGFUHD72XUYBN0HE7UP" hidden="1">#REF!</definedName>
    <definedName name="BExU4HA7QVIULY0E9HYG1NJOFIS0" hidden="1">#REF!</definedName>
    <definedName name="BExU4L111J82HSYZD2YWIQ0PQWKR" hidden="1">#REF!</definedName>
    <definedName name="BExU664E3B9QFZ6PQBPLQRCZ2YVE" hidden="1">#REF!</definedName>
    <definedName name="BExU6JB3SJP0ZA0PEXDINZUBW7C1" hidden="1">#REF!</definedName>
    <definedName name="BExU6OEJJEYAPP6AMECSIWXWSF9T" hidden="1">#REF!</definedName>
    <definedName name="BExU7Z08D77J8QQRIXK4HN7AQ1NV" hidden="1">#REF!</definedName>
    <definedName name="BExU82WHRB7XKJPSM5JVDSWKTE1N" hidden="1">#REF!</definedName>
    <definedName name="BExU88G0JT9FAJHT63MWFRSYV8RF" hidden="1">#REF!</definedName>
    <definedName name="BExU8C1HVCPA3XBVHMSL6VCAUBM8" hidden="1">#REF!</definedName>
    <definedName name="BExU929PX4MBOWFF3I2U06MUARL3" hidden="1">#REF!</definedName>
    <definedName name="BExU9NUDIBNVRZC2LXIV40ODBVEA" hidden="1">#REF!</definedName>
    <definedName name="BExU9QOZBD2MKE93YVD78TUANFJF" hidden="1">#REF!</definedName>
    <definedName name="BExUA34N5QWN0WM4R4VBTFZ7UVXE" hidden="1">#REF!</definedName>
    <definedName name="BExUAKNXO9B5PUZ0Q2YMVJW41GZ9" hidden="1">#REF!</definedName>
    <definedName name="BExUAXJVAPERR6P31T7YIU9GCD0T" hidden="1">#REF!</definedName>
    <definedName name="BExUBN0SVCLVWPOZPBYKKRAHMS2Z" hidden="1">#REF!</definedName>
    <definedName name="BExUBRDCIDQWXU444F6AMUFWMBN4" hidden="1">#REF!</definedName>
    <definedName name="BExUCUS4RZBDY8B3B7JOTYNCY737" hidden="1">#REF!</definedName>
    <definedName name="BExUCWQ6YRD1C6R88II8SWTBBY3K" hidden="1">#REF!</definedName>
    <definedName name="BExUCZ9ZRQ6B78SLOWNM0HM6WEPO" hidden="1">#REF!</definedName>
    <definedName name="BExUE0VZJAZQGTBTCORS8ZXM87AE" hidden="1">#REF!</definedName>
    <definedName name="BExVQMGTRZHG3K1SUDSPMKZPO13F" hidden="1">#REF!</definedName>
    <definedName name="BExVR98UHV0VS5VTOF51IKBL47KS" hidden="1">#REF!</definedName>
    <definedName name="BExVRBXYKZFIQH8K6QMSKMHU2MFS" hidden="1">#REF!</definedName>
    <definedName name="BExVS8GK2LX00DLCZYNBRWVYS3R9" hidden="1">#REF!</definedName>
    <definedName name="BExVS8RDRN7PF75BT8WJ7G0J0F8Q" hidden="1">#REF!</definedName>
    <definedName name="BExVS8WUDG50GA6UCFEICZUEGKAM" hidden="1">#REF!</definedName>
    <definedName name="BExVTDYUJO1ZSTVQLH3WS444EZQY" hidden="1">#REF!</definedName>
    <definedName name="BExVTJ7QMY999CI3XLXA6ZMLNWBW" hidden="1">#REF!</definedName>
    <definedName name="BExVTZ8X197XFAE7KTTX3R3XKWU7" hidden="1">#REF!</definedName>
    <definedName name="BExVUPX5S64PUT7WDF81HFABWZV9" hidden="1">#REF!</definedName>
    <definedName name="BExVVP4VM3BGCOGA5DDWBDGUY5W9" hidden="1">#REF!</definedName>
    <definedName name="BExVVVVKEZ2IOXFX3QJY5OOLARVA" hidden="1">#REF!</definedName>
    <definedName name="BExVWCTASZAFWHLHK52CONISVI00" hidden="1">#REF!</definedName>
    <definedName name="BExVWG3YZJGTXRE9WUIZY05SC7H6" hidden="1">#REF!</definedName>
    <definedName name="BExVWICT7M0E22N7ET93M9IVXL9K" hidden="1">#REF!</definedName>
    <definedName name="BExVXG80GP49SA544MOYHWDU6EI4" hidden="1">#REF!</definedName>
    <definedName name="BExVXIBK05X9RPI2A2WIRICOOD84" hidden="1">#REF!</definedName>
    <definedName name="BExVYHDT0TBFTKK3U68QG5ZKGF4E" hidden="1">#REF!</definedName>
    <definedName name="BExVYMXGWN5MS560G6QVHJG8K28I" hidden="1">#REF!</definedName>
    <definedName name="BExVZJ5A2QFF9GSXAOCOUENZKWKQ" hidden="1">#REF!</definedName>
    <definedName name="BExVZPALBZRNWQ2R1JS7P208Q4CS" hidden="1">#REF!</definedName>
    <definedName name="BExW0B62680OFIA2L153YAV6LEXQ" hidden="1">#REF!</definedName>
    <definedName name="BExW0X1ONEPZS9IHXFFC2SZBWVWL" hidden="1">#REF!</definedName>
    <definedName name="BExW0ZQSPW1Z4BIANAC4SYZ50FOU" hidden="1">#REF!</definedName>
    <definedName name="BExW1C15J2YQPGKNXD52VLGLU6A6" hidden="1">#REF!</definedName>
    <definedName name="BExW1CXJZO0ZDVSH3ONYKFE9PW5E" hidden="1">#REF!</definedName>
    <definedName name="BExW1LX7JGPNGTX90B2PVHSDID5K" hidden="1">#REF!</definedName>
    <definedName name="BExW2NZJ1XZW6RW2A2P69TBJ44RG" hidden="1">#REF!</definedName>
    <definedName name="BExW3YL7PR7HWLH5DAFZ8CNLLI60" hidden="1">#REF!</definedName>
    <definedName name="BExW4EH2E47411TAHN75B0YICUPH" hidden="1">#REF!</definedName>
    <definedName name="BExW4ID591VBMHH1H7L6RNDVE13F" hidden="1">#REF!</definedName>
    <definedName name="BExW4IDD4VJZSDOHJCG3ESIR0C6B" hidden="1">#REF!</definedName>
    <definedName name="BExW4X7BUEYP5X0LX2RI8URE724C" hidden="1">#REF!</definedName>
    <definedName name="BExW548TWBX1V4ODNGTRYK3UAHAB" hidden="1">#REF!</definedName>
    <definedName name="BExW5N4KMRCC7QNSKRM0DC4FTI8X" hidden="1">#REF!</definedName>
    <definedName name="BExW612D8TKEI3SY9A9US10NEPM2" hidden="1">#REF!</definedName>
    <definedName name="BExW6BEI5ADCC3HZCPJKISH5T3OY" hidden="1">#REF!</definedName>
    <definedName name="BExW6UVVCI3GODD8V6HG7LNGZBCK" hidden="1">#REF!</definedName>
    <definedName name="BExW7AM8A3C7KPOT1HQG18YKB36Q" hidden="1">#REF!</definedName>
    <definedName name="BExW8AVQNPYQ08O55IOSVTIL9EWL" hidden="1">#REF!</definedName>
    <definedName name="BExW8LIPIEDHWDT5FVDHNTKHTELC" hidden="1">#REF!</definedName>
    <definedName name="BExW8M9S4RTGJWO9DHXKNPMBGEH5" hidden="1">#REF!</definedName>
    <definedName name="BExW8NBFTOPHLGT3VHRFP0VRTDHJ" hidden="1">#REF!</definedName>
    <definedName name="BExW8UNVTGBJ7T61AG06YCURHMOU" hidden="1">#REF!</definedName>
    <definedName name="BExW8XYK6EXISOPQGHQHMQ4AUXU4" hidden="1">#REF!</definedName>
    <definedName name="BExW99HVV029E72NJS9VILLPE2CM" hidden="1">#REF!</definedName>
    <definedName name="BExW9R6IHR3GOIE0N8CY0V1O6306" hidden="1">#REF!</definedName>
    <definedName name="BExW9YO8ARAXGYDBETLA0GRIISQQ" hidden="1">#REF!</definedName>
    <definedName name="BExXLISDERA5EAMFCOVCERQMK4BN" hidden="1">#REF!</definedName>
    <definedName name="BExXLMONFP80OAFW8L69VIOD3M8A" hidden="1">#REF!</definedName>
    <definedName name="BExXMPY3E0O9WKA9CTCMDU3AYN7S" hidden="1">#REF!</definedName>
    <definedName name="BExXMQJO9U2AQ2OVJ2WSZRR3BRUN" hidden="1">#REF!</definedName>
    <definedName name="BExXNKTFI3WGOZU4LGFHCP2SQ1XS" hidden="1">#REF!</definedName>
    <definedName name="BExXNTSX9M3REO584LS5X36XQN41" hidden="1">#REF!</definedName>
    <definedName name="BExXOMFG7TQ9P8FD7UG2S2XDYHZ5" hidden="1">#REF!</definedName>
    <definedName name="BExXOQBPOA9ZAB3UCXGJ6MWK8HW7" hidden="1">#REF!</definedName>
    <definedName name="BExXORDFCGPUBWG89JNJ5F082I6H" hidden="1">#REF!</definedName>
    <definedName name="BExXOWGTQWCA5GZTW82KRY49URL3" hidden="1">#REF!</definedName>
    <definedName name="BExXOYKD21KH2V7R8LKVL8L2VNU2" hidden="1">#REF!</definedName>
    <definedName name="BExXPDUME5P55MJKG1XYG4458HOW" hidden="1">#REF!</definedName>
    <definedName name="BExXPK57XATA82GCJ8HNG9TN8ZD3" hidden="1">#REF!</definedName>
    <definedName name="BExXPLSM91IPX0A4MZ1GI7LFFPBK" hidden="1">#REF!</definedName>
    <definedName name="BExXPNAF29N09ZUWHP1NVWKZ913M" hidden="1">#REF!</definedName>
    <definedName name="BExXPZQ8J6L8FJG3ZAXE5G5C70UQ" hidden="1">#REF!</definedName>
    <definedName name="BExXQ90QTCTI3XLY0BW9N9YE8KNK" hidden="1">#REF!</definedName>
    <definedName name="BExXQH9DUIXKFL5D4ONXGLNQEWAK" hidden="1">#REF!</definedName>
    <definedName name="BExXRCA1L59AP1GREN3RC4HVPSOH" hidden="1">#REF!</definedName>
    <definedName name="BExXS7WEVJPON8M1IV5GCO1DDLRQ" hidden="1">#REF!</definedName>
    <definedName name="BExXSFOSK0MY1GJ8CTLRXPADOQDI" hidden="1">#REF!</definedName>
    <definedName name="BExXSJ4Y3OXEFXGB59L8CW5SXZ9P" hidden="1">#REF!</definedName>
    <definedName name="BExXSK6S85KZ49Q437ISHUOXKPSM" hidden="1">#REF!</definedName>
    <definedName name="BExXSZX5J6RF97OL526HVYB497UY" hidden="1">#REF!</definedName>
    <definedName name="BExXT19MZ9RSJDBACV1XQKPSQ5V6" hidden="1">#REF!</definedName>
    <definedName name="BExXT20O6V2QQBHU3RSGEYK0EU4N" hidden="1">#REF!</definedName>
    <definedName name="BExXTV8L5Z9IIVGU5KHJNRX6HRQJ" hidden="1">#REF!</definedName>
    <definedName name="BExXUFX2BYMGT2IRMLZVPRLS1EMS" hidden="1">#REF!</definedName>
    <definedName name="BExXUGD7F7FNTPES3VCHUU1MLA67" hidden="1">#REF!</definedName>
    <definedName name="BExXUOWS9YKYKV7US94FEBMSZ9TQ" hidden="1">#REF!</definedName>
    <definedName name="BExXUSI8CH986FCL23RSG2UAPSX5" hidden="1">#REF!</definedName>
    <definedName name="BExXV0G2H7DVER8PNNI997OCLMG6" hidden="1">#REF!</definedName>
    <definedName name="BExXVAMXEO7EH4VQNNMVVXIHZ2J6" hidden="1">#REF!</definedName>
    <definedName name="BExXVVGPP9FJE1M87BP8O9IGYWBU" hidden="1">#REF!</definedName>
    <definedName name="BExXVWILAN2443BJ6SZ2N7P1V54E" hidden="1">#REF!</definedName>
    <definedName name="BExXWLU9SPT50OXAZC75FQ657X1Z" hidden="1">#REF!</definedName>
    <definedName name="BExXWYQ71AMH7LSXT6ZHC0IH5B2L" hidden="1">#REF!</definedName>
    <definedName name="BExXXHB5LQICEZU9F7FB5Q3ZPK1L" hidden="1">#REF!</definedName>
    <definedName name="BExXXQAP21VCC3HUJA24U9291EFX" hidden="1">#REF!</definedName>
    <definedName name="BExXY31BU4UZ58Z4OE1AXDH4BZIJ" hidden="1">#REF!</definedName>
    <definedName name="BExXYJTJ84W6O8SCDJ7X23MJTVK8" hidden="1">#REF!</definedName>
    <definedName name="BExXZOVK467UCNHSFVMIE1IYOM4L" hidden="1">#REF!</definedName>
    <definedName name="BExY0MW2DLIB7GGW0DO8T67VVGLJ" hidden="1">#REF!</definedName>
    <definedName name="BExY0SAHGVWM1M1AGXSCWM33P0ZQ" hidden="1">#REF!</definedName>
    <definedName name="BExY15XAJ26D7HC2NL2TT5TWAV5T" hidden="1">#REF!</definedName>
    <definedName name="BExY1VP7YH3AAIR7V4XFO5NCEMBN" hidden="1">#REF!</definedName>
    <definedName name="BExY1ZLHG00JHRCL3R04VEI7SPU7" hidden="1">#REF!</definedName>
    <definedName name="BExY2J83VR8QNJ7LZOYCS3HXEA6V" hidden="1">#REF!</definedName>
    <definedName name="BExY2RM9TQCMULF88PA6LUCIDV31" hidden="1">#REF!</definedName>
    <definedName name="BExY2X0HT5AK2MFI5VGSE1PFGUEQ" hidden="1">#REF!</definedName>
    <definedName name="BExY3K3A8KW4RGA3N6KEPBU9MQIR" hidden="1">#REF!</definedName>
    <definedName name="BExY4OP76JWXE0O370RHJ814OPVE" hidden="1">#REF!</definedName>
    <definedName name="BExY4QHXY9QKADPQN1P4P2J1RUJ4" hidden="1">#REF!</definedName>
    <definedName name="BExZHZLP4AHOWEG93XQ3LGG62FDB" hidden="1">#REF!</definedName>
    <definedName name="BExZJKZT2TNALMSJEBQLJLWOMYLN" hidden="1">#REF!</definedName>
    <definedName name="BExZK2TW3HENI76VTWGXCXS493WW" hidden="1">#REF!</definedName>
    <definedName name="BExZL9385SERER4QIT9THZJ0WUVC" hidden="1">#REF!</definedName>
    <definedName name="BExZMCY3Y39FU3QLR49GWBNM5993" hidden="1">#REF!</definedName>
    <definedName name="BExZMOSDJ19P06UZCPO5L0VBTGOC" hidden="1">#REF!</definedName>
    <definedName name="BExZMWQ7PW6IYMSZFH4W5QR7SP2S" hidden="1">#REF!</definedName>
    <definedName name="BExZO04ZPGQUO5459URV1Q3HX11C" hidden="1">#REF!</definedName>
    <definedName name="BExZOJBH5TENNPRF2SOHUX3L8V78" hidden="1">#REF!</definedName>
    <definedName name="BExZOS0FHVWU7IA7IGP7U13QIHTJ" hidden="1">#REF!</definedName>
    <definedName name="BExZP0JT6UHVJ7BICB24JRW1PW8A" hidden="1">#REF!</definedName>
    <definedName name="BExZP3JPXNY44AGYA8Q22DUUDHO0" hidden="1">#REF!</definedName>
    <definedName name="BExZP51ORI4XTE7OQBBX9HC2NIP6" hidden="1">#REF!</definedName>
    <definedName name="BExZPIZAV128SBSUYBNM8YMVR3EL" hidden="1">#REF!</definedName>
    <definedName name="BExZPPVI307HCGQYOHGOVASUKTJR" hidden="1">#REF!</definedName>
    <definedName name="BExZQRSG6AZLT3GTHHVUQTVFELR5" hidden="1">#REF!</definedName>
    <definedName name="BExZR90RQ9L1E81DVSQR2J6LBLYD" hidden="1">#REF!</definedName>
    <definedName name="BExZRI0FL5PN7F9PFXEEYGODXN6J" hidden="1">#REF!</definedName>
    <definedName name="BExZRRAS31FXY18Y7UWEL7WC0DMA" hidden="1">#REF!</definedName>
    <definedName name="BExZRULGICJV3ZZF1HW22QB6GXME" hidden="1">#REF!</definedName>
    <definedName name="BExZRY736TFLVYCHU05Y535GZJ8V" hidden="1">#REF!</definedName>
    <definedName name="BExZS0QPSCDOSLYCAJUIUHBLMQGJ" hidden="1">#REF!</definedName>
    <definedName name="BExZS1CBFGYQTOIJG81GNAT5NQQY" hidden="1">#REF!</definedName>
    <definedName name="BExZS4C6V4TSVU9OSJRT29QK3STT" hidden="1">#REF!</definedName>
    <definedName name="BExZSB31EDYXA9CSARR6V1UAT1VQ" hidden="1">#REF!</definedName>
    <definedName name="BExZTDLB1SC0EEHKWL7D1LYI7HZG" hidden="1">#REF!</definedName>
    <definedName name="BExZTQXH3V1DSQNZ5Y3E87699WYJ" hidden="1">#REF!</definedName>
    <definedName name="BExZTXZ3JACPFKHDWJWD8951SY63" hidden="1">#REF!</definedName>
    <definedName name="BExZU8REO6HJBA6Y62TG8ZMMDVSG" hidden="1">#REF!</definedName>
    <definedName name="BExZUE09MPK9RL53OBP3D8300GOF" hidden="1">#REF!</definedName>
    <definedName name="BExZUV8MEESZSG576XXOVDP19JIF" hidden="1">#REF!</definedName>
    <definedName name="BExZUVU7VKCV9F8V2652I73Y9HTW" hidden="1">#REF!</definedName>
    <definedName name="BExZUXC5U1CI632AWYY2BU8928JS" hidden="1">#REF!</definedName>
    <definedName name="BExZVB9T6SQK96GNYZ2QCOIW87OQ" hidden="1">#REF!</definedName>
    <definedName name="BExZVJTDJEZKXF2V7RARBES8HFHJ" hidden="1">#REF!</definedName>
    <definedName name="BExZVPNP4B29FG5AMUL6X6CGHQJW" hidden="1">#REF!</definedName>
    <definedName name="BExZVPT7CCYZCH1DPLD2OBTXJMZV" hidden="1">#REF!</definedName>
    <definedName name="BExZVSNLW6WS7O0W15STS0BZGRX2" hidden="1">#REF!</definedName>
    <definedName name="BExZVZ3NB3U8RM069BRBIEQNU7FR" hidden="1">#REF!</definedName>
    <definedName name="BExZW6LEN5TKMTL95PQWKY4AJPBP" hidden="1">#REF!</definedName>
    <definedName name="BExZWB8JQ6BC8A9AS663P30A1SL6" hidden="1">#REF!</definedName>
    <definedName name="BExZWD6S58ZS1ED5WCSHFE4K4JPA" hidden="1">#REF!</definedName>
    <definedName name="BExZWNDLHQVUZWDLH8UPQ7F4KZI7" hidden="1">#REF!</definedName>
    <definedName name="BExZWO9SCYN803SZA638X5PJ0O0V" hidden="1">#REF!</definedName>
    <definedName name="BExZWR9VZYZW1ZS1ILZXAUJ6F088" hidden="1">#REF!</definedName>
    <definedName name="BExZWTIP3PSQL34PC5547D7A2C8Y" hidden="1">#REF!</definedName>
    <definedName name="BExZWV5ZDOMWN2XU71YWTWL9ORYN" hidden="1">#REF!</definedName>
    <definedName name="BExZXAAXKZ7I7PESPC45VLK8BDBX" hidden="1">#REF!</definedName>
    <definedName name="BExZXHN8MYRQKPM78J9P2Y6DFYCP" hidden="1">#REF!</definedName>
    <definedName name="BExZXWMPXKOQR72XBPO4S0XE9WQR" hidden="1">#REF!</definedName>
    <definedName name="BExZY2H0NIZ0D3RBIYEF7QKOQALD" hidden="1">#REF!</definedName>
    <definedName name="BExZYKR6GUVNF1GQUZNYWWCLMMHC" hidden="1">#REF!</definedName>
    <definedName name="BExZZ06RYPE9S099DOMOJRDBD38N" hidden="1">#REF!</definedName>
    <definedName name="BExZZE4KDQ5I3D177TNJMHLTHWLJ" hidden="1">#REF!</definedName>
    <definedName name="BExZZIBMKV9ZS3JXD8D9D2I5QME2" hidden="1">#REF!</definedName>
    <definedName name="bggyhgy" localSheetId="0" hidden="1">{#N/A,#N/A,FALSE,"단축1";#N/A,#N/A,FALSE,"단축2";#N/A,#N/A,FALSE,"단축3";#N/A,#N/A,FALSE,"장축";#N/A,#N/A,FALSE,"4WD"}</definedName>
    <definedName name="bggyhgy" hidden="1">{#N/A,#N/A,FALSE,"단축1";#N/A,#N/A,FALSE,"단축2";#N/A,#N/A,FALSE,"단축3";#N/A,#N/A,FALSE,"장축";#N/A,#N/A,FALSE,"4WD"}</definedName>
    <definedName name="BGVFUISHIOGSIOP" localSheetId="0" hidden="1">{#N/A,#N/A,FALSE,"단축1";#N/A,#N/A,FALSE,"단축2";#N/A,#N/A,FALSE,"단축3";#N/A,#N/A,FALSE,"장축";#N/A,#N/A,FALSE,"4WD"}</definedName>
    <definedName name="BGVFUISHIOGSIOP" hidden="1">{#N/A,#N/A,FALSE,"단축1";#N/A,#N/A,FALSE,"단축2";#N/A,#N/A,FALSE,"단축3";#N/A,#N/A,FALSE,"장축";#N/A,#N/A,FALSE,"4WD"}</definedName>
    <definedName name="book1" localSheetId="0" hidden="1">{#N/A,#N/A,TRUE,"Y생산";#N/A,#N/A,TRUE,"Y판매";#N/A,#N/A,TRUE,"Y총물량";#N/A,#N/A,TRUE,"Y능력";#N/A,#N/A,TRUE,"YKD"}</definedName>
    <definedName name="book1" hidden="1">{#N/A,#N/A,TRUE,"Y생산";#N/A,#N/A,TRUE,"Y판매";#N/A,#N/A,TRUE,"Y총물량";#N/A,#N/A,TRUE,"Y능력";#N/A,#N/A,TRUE,"YKD"}</definedName>
    <definedName name="C_41ps">#REF!</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LENDAR" localSheetId="0" hidden="1">{#N/A,#N/A,TRUE,"Y생산";#N/A,#N/A,TRUE,"Y판매";#N/A,#N/A,TRUE,"Y총물량";#N/A,#N/A,TRUE,"Y능력";#N/A,#N/A,TRUE,"YKD"}</definedName>
    <definedName name="CALENDAR" hidden="1">{#N/A,#N/A,TRUE,"Y생산";#N/A,#N/A,TRUE,"Y판매";#N/A,#N/A,TRUE,"Y총물량";#N/A,#N/A,TRUE,"Y능력";#N/A,#N/A,TRUE,"YKD"}</definedName>
    <definedName name="CAT" localSheetId="0" hidden="1">{#N/A,#N/A,FALSE,"단축1";#N/A,#N/A,FALSE,"단축2";#N/A,#N/A,FALSE,"단축3";#N/A,#N/A,FALSE,"장축";#N/A,#N/A,FALSE,"4WD"}</definedName>
    <definedName name="CAT" hidden="1">{#N/A,#N/A,FALSE,"단축1";#N/A,#N/A,FALSE,"단축2";#N/A,#N/A,FALSE,"단축3";#N/A,#N/A,FALSE,"장축";#N/A,#N/A,FALSE,"4WD"}</definedName>
    <definedName name="Cat.3연료별단위표">'[6]Raw-Data - Category 3'!$B$19:$C$27</definedName>
    <definedName name="CCC" localSheetId="0" hidden="1">{#N/A,#N/A,FALSE,"단축1";#N/A,#N/A,FALSE,"단축2";#N/A,#N/A,FALSE,"단축3";#N/A,#N/A,FALSE,"장축";#N/A,#N/A,FALSE,"4WD"}</definedName>
    <definedName name="CCC" hidden="1">{#N/A,#N/A,FALSE,"단축1";#N/A,#N/A,FALSE,"단축2";#N/A,#N/A,FALSE,"단축3";#N/A,#N/A,FALSE,"장축";#N/A,#N/A,FALSE,"4WD"}</definedName>
    <definedName name="cccddd" localSheetId="0" hidden="1">{#N/A,#N/A,FALSE,"단축1";#N/A,#N/A,FALSE,"단축2";#N/A,#N/A,FALSE,"단축3";#N/A,#N/A,FALSE,"장축";#N/A,#N/A,FALSE,"4WD"}</definedName>
    <definedName name="cccddd" hidden="1">{#N/A,#N/A,FALSE,"단축1";#N/A,#N/A,FALSE,"단축2";#N/A,#N/A,FALSE,"단축3";#N/A,#N/A,FALSE,"장축";#N/A,#N/A,FALSE,"4WD"}</definedName>
    <definedName name="cdrdbvyugibi" localSheetId="0" hidden="1">{#N/A,#N/A,FALSE,"단축1";#N/A,#N/A,FALSE,"단축2";#N/A,#N/A,FALSE,"단축3";#N/A,#N/A,FALSE,"장축";#N/A,#N/A,FALSE,"4WD"}</definedName>
    <definedName name="cdrdbvyugibi" hidden="1">{#N/A,#N/A,FALSE,"단축1";#N/A,#N/A,FALSE,"단축2";#N/A,#N/A,FALSE,"단축3";#N/A,#N/A,FALSE,"장축";#N/A,#N/A,FALSE,"4WD"}</definedName>
    <definedName name="CGFGD" localSheetId="0" hidden="1">{#N/A,#N/A,FALSE,"단축1";#N/A,#N/A,FALSE,"단축2";#N/A,#N/A,FALSE,"단축3";#N/A,#N/A,FALSE,"장축";#N/A,#N/A,FALSE,"4WD"}</definedName>
    <definedName name="CGFGD" hidden="1">{#N/A,#N/A,FALSE,"단축1";#N/A,#N/A,FALSE,"단축2";#N/A,#N/A,FALSE,"단축3";#N/A,#N/A,FALSE,"장축";#N/A,#N/A,FALSE,"4WD"}</definedName>
    <definedName name="CH4_fraction">[7]Parameters!$E$39</definedName>
    <definedName name="ci" localSheetId="0" hidden="1">{#N/A,#N/A,FALSE,"단축1";#N/A,#N/A,FALSE,"단축2";#N/A,#N/A,FALSE,"단축3";#N/A,#N/A,FALSE,"장축";#N/A,#N/A,FALSE,"4WD"}</definedName>
    <definedName name="ci" hidden="1">{#N/A,#N/A,FALSE,"단축1";#N/A,#N/A,FALSE,"단축2";#N/A,#N/A,FALSE,"단축3";#N/A,#N/A,FALSE,"장축";#N/A,#N/A,FALSE,"4WD"}</definedName>
    <definedName name="city_country_matching">'[8]4-1. 현대중공업_20_해외'!$E$8:$F$10415</definedName>
    <definedName name="ckdksl" localSheetId="0" hidden="1">{#N/A,#N/A,FALSE,"단축1";#N/A,#N/A,FALSE,"단축2";#N/A,#N/A,FALSE,"단축3";#N/A,#N/A,FALSE,"장축";#N/A,#N/A,FALSE,"4WD"}</definedName>
    <definedName name="ckdksl" hidden="1">{#N/A,#N/A,FALSE,"단축1";#N/A,#N/A,FALSE,"단축2";#N/A,#N/A,FALSE,"단축3";#N/A,#N/A,FALSE,"장축";#N/A,#N/A,FALSE,"4WD"}</definedName>
    <definedName name="Com_금액">#REF!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v">[7]Parameters!$E$41</definedName>
    <definedName name="COPY" localSheetId="0" hidden="1">{#N/A,#N/A,FALSE,"품의서";#N/A,#N/A,FALSE,"전제";#N/A,#N/A,FALSE,"총손";#N/A,#N/A,FALSE,"손익"}</definedName>
    <definedName name="COPY" hidden="1">{#N/A,#N/A,FALSE,"품의서";#N/A,#N/A,FALSE,"전제";#N/A,#N/A,FALSE,"총손";#N/A,#N/A,FALSE,"손익"}</definedName>
    <definedName name="Country">'[9]PV Installation Cost'!$B$3:$B$10</definedName>
    <definedName name="COVER" localSheetId="0" hidden="1">{#N/A,#N/A,FALSE,"단축1";#N/A,#N/A,FALSE,"단축2";#N/A,#N/A,FALSE,"단축3";#N/A,#N/A,FALSE,"장축";#N/A,#N/A,FALSE,"4WD"}</definedName>
    <definedName name="COVER" hidden="1">{#N/A,#N/A,FALSE,"단축1";#N/A,#N/A,FALSE,"단축2";#N/A,#N/A,FALSE,"단축3";#N/A,#N/A,FALSE,"장축";#N/A,#N/A,FALSE,"4WD"}</definedName>
    <definedName name="DALDJKLA" localSheetId="0" hidden="1">{#N/A,#N/A,FALSE,"단축1";#N/A,#N/A,FALSE,"단축2";#N/A,#N/A,FALSE,"단축3";#N/A,#N/A,FALSE,"장축";#N/A,#N/A,FALSE,"4WD"}</definedName>
    <definedName name="DALDJKLA" hidden="1">{#N/A,#N/A,FALSE,"단축1";#N/A,#N/A,FALSE,"단축2";#N/A,#N/A,FALSE,"단축3";#N/A,#N/A,FALSE,"장축";#N/A,#N/A,FALSE,"4WD"}</definedName>
    <definedName name="dasf" localSheetId="0" hidden="1">{#N/A,#N/A,FALSE,"단축1";#N/A,#N/A,FALSE,"단축2";#N/A,#N/A,FALSE,"단축3";#N/A,#N/A,FALSE,"장축";#N/A,#N/A,FALSE,"4WD"}</definedName>
    <definedName name="dasf" hidden="1">{#N/A,#N/A,FALSE,"단축1";#N/A,#N/A,FALSE,"단축2";#N/A,#N/A,FALSE,"단축3";#N/A,#N/A,FALSE,"장축";#N/A,#N/A,FALSE,"4WD"}</definedName>
    <definedName name="_xlnm.Database">#REF!</definedName>
    <definedName name="Dchan">#REF!</definedName>
    <definedName name="dd" localSheetId="0" hidden="1">{#N/A,#N/A,FALSE,"단축1";#N/A,#N/A,FALSE,"단축2";#N/A,#N/A,FALSE,"단축3";#N/A,#N/A,FALSE,"장축";#N/A,#N/A,FALSE,"4WD"}</definedName>
    <definedName name="dd" hidden="1">{#N/A,#N/A,FALSE,"단축1";#N/A,#N/A,FALSE,"단축2";#N/A,#N/A,FALSE,"단축3";#N/A,#N/A,FALSE,"장축";#N/A,#N/A,FALSE,"4WD"}</definedName>
    <definedName name="ddd">#REF!</definedName>
    <definedName name="DDDDDD" localSheetId="0" hidden="1">{#N/A,#N/A,FALSE,"단축1";#N/A,#N/A,FALSE,"단축2";#N/A,#N/A,FALSE,"단축3";#N/A,#N/A,FALSE,"장축";#N/A,#N/A,FALSE,"4WD"}</definedName>
    <definedName name="DDDDDD" hidden="1">{#N/A,#N/A,FALSE,"단축1";#N/A,#N/A,FALSE,"단축2";#N/A,#N/A,FALSE,"단축3";#N/A,#N/A,FALSE,"장축";#N/A,#N/A,FALSE,"4WD"}</definedName>
    <definedName name="df" localSheetId="0" hidden="1">{#N/A,#N/A,FALSE,"품의서";#N/A,#N/A,FALSE,"전제";#N/A,#N/A,FALSE,"총손";#N/A,#N/A,FALSE,"손익"}</definedName>
    <definedName name="df" hidden="1">{#N/A,#N/A,FALSE,"품의서";#N/A,#N/A,FALSE,"전제";#N/A,#N/A,FALSE,"총손";#N/A,#N/A,FALSE,"손익"}</definedName>
    <definedName name="dfd" localSheetId="0" hidden="1">{#N/A,#N/A,FALSE,"표지";#N/A,#N/A,FALSE,"전제";#N/A,#N/A,FALSE,"손익-자 (2)";#N/A,#N/A,FALSE,"손익-자";#N/A,#N/A,FALSE,"손익-마 (2)";#N/A,#N/A,FALSE,"손익-마";#N/A,#N/A,FALSE,"총손최종"}</definedName>
    <definedName name="dfd" hidden="1">{#N/A,#N/A,FALSE,"표지";#N/A,#N/A,FALSE,"전제";#N/A,#N/A,FALSE,"손익-자 (2)";#N/A,#N/A,FALSE,"손익-자";#N/A,#N/A,FALSE,"손익-마 (2)";#N/A,#N/A,FALSE,"손익-마";#N/A,#N/A,FALSE,"총손최종"}</definedName>
    <definedName name="dfdfd" localSheetId="0"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localSheetId="0" hidden="1">{#N/A,#N/A,FALSE,"단축1";#N/A,#N/A,FALSE,"단축2";#N/A,#N/A,FALSE,"단축3";#N/A,#N/A,FALSE,"장축";#N/A,#N/A,FALSE,"4WD"}</definedName>
    <definedName name="DFG" hidden="1">{#N/A,#N/A,FALSE,"단축1";#N/A,#N/A,FALSE,"단축2";#N/A,#N/A,FALSE,"단축3";#N/A,#N/A,FALSE,"장축";#N/A,#N/A,FALSE,"4WD"}</definedName>
    <definedName name="DFGHS" localSheetId="0" hidden="1">{#N/A,#N/A,FALSE,"단축1";#N/A,#N/A,FALSE,"단축2";#N/A,#N/A,FALSE,"단축3";#N/A,#N/A,FALSE,"장축";#N/A,#N/A,FALSE,"4WD"}</definedName>
    <definedName name="DFGHS" hidden="1">{#N/A,#N/A,FALSE,"단축1";#N/A,#N/A,FALSE,"단축2";#N/A,#N/A,FALSE,"단축3";#N/A,#N/A,FALSE,"장축";#N/A,#N/A,FALSE,"4WD"}</definedName>
    <definedName name="dfhgfd" localSheetId="0" hidden="1">{#N/A,#N/A,FALSE,"산학연 합동연구";#N/A,#N/A,FALSE,"96업무계획";#N/A,#N/A,FALSE,"96기술개발계획";#N/A,#N/A,FALSE,"인력양성";#N/A,#N/A,FALSE,"7. 원가절감계획";#N/A,#N/A,FALSE,"노무";#N/A,#N/A,FALSE,"업무계획";#N/A,#N/A,FALSE,"제목"}</definedName>
    <definedName name="dfhgfd" hidden="1">{#N/A,#N/A,FALSE,"산학연 합동연구";#N/A,#N/A,FALSE,"96업무계획";#N/A,#N/A,FALSE,"96기술개발계획";#N/A,#N/A,FALSE,"인력양성";#N/A,#N/A,FALSE,"7. 원가절감계획";#N/A,#N/A,FALSE,"노무";#N/A,#N/A,FALSE,"업무계획";#N/A,#N/A,FALSE,"제목"}</definedName>
    <definedName name="dfhgh" localSheetId="0" hidden="1">{#N/A,#N/A,FALSE,"단축1";#N/A,#N/A,FALSE,"단축2";#N/A,#N/A,FALSE,"단축3";#N/A,#N/A,FALSE,"장축";#N/A,#N/A,FALSE,"4WD"}</definedName>
    <definedName name="dfhgh" hidden="1">{#N/A,#N/A,FALSE,"단축1";#N/A,#N/A,FALSE,"단축2";#N/A,#N/A,FALSE,"단축3";#N/A,#N/A,FALSE,"장축";#N/A,#N/A,FALSE,"4WD"}</definedName>
    <definedName name="DFHH" localSheetId="0" hidden="1">{#N/A,#N/A,FALSE,"단축1";#N/A,#N/A,FALSE,"단축2";#N/A,#N/A,FALSE,"단축3";#N/A,#N/A,FALSE,"장축";#N/A,#N/A,FALSE,"4WD"}</definedName>
    <definedName name="DFHH" hidden="1">{#N/A,#N/A,FALSE,"단축1";#N/A,#N/A,FALSE,"단축2";#N/A,#N/A,FALSE,"단축3";#N/A,#N/A,FALSE,"장축";#N/A,#N/A,FALSE,"4WD"}</definedName>
    <definedName name="DFLSDF" localSheetId="0" hidden="1">{#N/A,#N/A,FALSE,"단축1";#N/A,#N/A,FALSE,"단축2";#N/A,#N/A,FALSE,"단축3";#N/A,#N/A,FALSE,"장축";#N/A,#N/A,FALSE,"4WD"}</definedName>
    <definedName name="DFLSDF" hidden="1">{#N/A,#N/A,FALSE,"단축1";#N/A,#N/A,FALSE,"단축2";#N/A,#N/A,FALSE,"단축3";#N/A,#N/A,FALSE,"장축";#N/A,#N/A,FALSE,"4WD"}</definedName>
    <definedName name="dgfhg" localSheetId="0" hidden="1">{#N/A,#N/A,FALSE,"단축1";#N/A,#N/A,FALSE,"단축2";#N/A,#N/A,FALSE,"단축3";#N/A,#N/A,FALSE,"장축";#N/A,#N/A,FALSE,"4WD"}</definedName>
    <definedName name="dgfhg" hidden="1">{#N/A,#N/A,FALSE,"단축1";#N/A,#N/A,FALSE,"단축2";#N/A,#N/A,FALSE,"단축3";#N/A,#N/A,FALSE,"장축";#N/A,#N/A,FALSE,"4WD"}</definedName>
    <definedName name="dhkdkd" localSheetId="0" hidden="1">{#N/A,#N/A,FALSE,"단축1";#N/A,#N/A,FALSE,"단축2";#N/A,#N/A,FALSE,"단축3";#N/A,#N/A,FALSE,"장축";#N/A,#N/A,FALSE,"4WD"}</definedName>
    <definedName name="dhkdkd" hidden="1">{#N/A,#N/A,FALSE,"단축1";#N/A,#N/A,FALSE,"단축2";#N/A,#N/A,FALSE,"단축3";#N/A,#N/A,FALSE,"장축";#N/A,#N/A,FALSE,"4WD"}</definedName>
    <definedName name="dis" localSheetId="0" hidden="1">{#N/A,#N/A,FALSE,"단축1";#N/A,#N/A,FALSE,"단축2";#N/A,#N/A,FALSE,"단축3";#N/A,#N/A,FALSE,"장축";#N/A,#N/A,FALSE,"4WD"}</definedName>
    <definedName name="dis" hidden="1">{#N/A,#N/A,FALSE,"단축1";#N/A,#N/A,FALSE,"단축2";#N/A,#N/A,FALSE,"단축3";#N/A,#N/A,FALSE,"장축";#N/A,#N/A,FALSE,"4WD"}</definedName>
    <definedName name="Div">#REF!</definedName>
    <definedName name="djsdkfksdf" localSheetId="0" hidden="1">{#N/A,#N/A,FALSE,"단축1";#N/A,#N/A,FALSE,"단축2";#N/A,#N/A,FALSE,"단축3";#N/A,#N/A,FALSE,"장축";#N/A,#N/A,FALSE,"4WD"}</definedName>
    <definedName name="djsdkfksdf" hidden="1">{#N/A,#N/A,FALSE,"단축1";#N/A,#N/A,FALSE,"단축2";#N/A,#N/A,FALSE,"단축3";#N/A,#N/A,FALSE,"장축";#N/A,#N/A,FALSE,"4WD"}</definedName>
    <definedName name="dkdk" localSheetId="0" hidden="1">{#N/A,#N/A,FALSE,"단축1";#N/A,#N/A,FALSE,"단축2";#N/A,#N/A,FALSE,"단축3";#N/A,#N/A,FALSE,"장축";#N/A,#N/A,FALSE,"4WD"}</definedName>
    <definedName name="dkdk" hidden="1">{#N/A,#N/A,FALSE,"단축1";#N/A,#N/A,FALSE,"단축2";#N/A,#N/A,FALSE,"단축3";#N/A,#N/A,FALSE,"장축";#N/A,#N/A,FALSE,"4WD"}</definedName>
    <definedName name="dkf" localSheetId="0" hidden="1">{#N/A,#N/A,FALSE,"단축1";#N/A,#N/A,FALSE,"단축2";#N/A,#N/A,FALSE,"단축3";#N/A,#N/A,FALSE,"장축";#N/A,#N/A,FALSE,"4WD"}</definedName>
    <definedName name="dkf" hidden="1">{#N/A,#N/A,FALSE,"단축1";#N/A,#N/A,FALSE,"단축2";#N/A,#N/A,FALSE,"단축3";#N/A,#N/A,FALSE,"장축";#N/A,#N/A,FALSE,"4WD"}</definedName>
    <definedName name="DKJF" localSheetId="0" hidden="1">{#N/A,#N/A,FALSE,"단축1";#N/A,#N/A,FALSE,"단축2";#N/A,#N/A,FALSE,"단축3";#N/A,#N/A,FALSE,"장축";#N/A,#N/A,FALSE,"4WD"}</definedName>
    <definedName name="DKJF" hidden="1">{#N/A,#N/A,FALSE,"단축1";#N/A,#N/A,FALSE,"단축2";#N/A,#N/A,FALSE,"단축3";#N/A,#N/A,FALSE,"장축";#N/A,#N/A,FALSE,"4WD"}</definedName>
    <definedName name="DLATL" localSheetId="0" hidden="1">{#N/A,#N/A,FALSE,"단축1";#N/A,#N/A,FALSE,"단축2";#N/A,#N/A,FALSE,"단축3";#N/A,#N/A,FALSE,"장축";#N/A,#N/A,FALSE,"4WD"}</definedName>
    <definedName name="DLATL" hidden="1">{#N/A,#N/A,FALSE,"단축1";#N/A,#N/A,FALSE,"단축2";#N/A,#N/A,FALSE,"단축3";#N/A,#N/A,FALSE,"장축";#N/A,#N/A,FALSE,"4WD"}</definedName>
    <definedName name="DLS" localSheetId="0" hidden="1">{#N/A,#N/A,TRUE,"Y생산";#N/A,#N/A,TRUE,"Y판매";#N/A,#N/A,TRUE,"Y총물량";#N/A,#N/A,TRUE,"Y능력";#N/A,#N/A,TRUE,"YKD"}</definedName>
    <definedName name="DLS" hidden="1">{#N/A,#N/A,TRUE,"Y생산";#N/A,#N/A,TRUE,"Y판매";#N/A,#N/A,TRUE,"Y총물량";#N/A,#N/A,TRUE,"Y능력";#N/A,#N/A,TRUE,"YKD"}</definedName>
    <definedName name="DOC_table">[7]Defaults!$P$8:$Q$17</definedName>
    <definedName name="DOCF">[7]Parameters!$E$23</definedName>
    <definedName name="DR" localSheetId="0" hidden="1">{#N/A,#N/A,FALSE,"단축1";#N/A,#N/A,FALSE,"단축2";#N/A,#N/A,FALSE,"단축3";#N/A,#N/A,FALSE,"장축";#N/A,#N/A,FALSE,"4WD"}</definedName>
    <definedName name="DR"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S" localSheetId="0"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ds" localSheetId="0" hidden="1">{"'Sheet1'!$R$24:$V$24"}</definedName>
    <definedName name="dsds" hidden="1">{"'Sheet1'!$R$24:$V$24"}</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E_55ps">#REF!</definedName>
    <definedName name="E3D일정표" localSheetId="0" hidden="1">{#N/A,#N/A,FALSE,"단축1";#N/A,#N/A,FALSE,"단축2";#N/A,#N/A,FALSE,"단축3";#N/A,#N/A,FALSE,"장축";#N/A,#N/A,FALSE,"4WD"}</definedName>
    <definedName name="E3D일정표" hidden="1">{#N/A,#N/A,FALSE,"단축1";#N/A,#N/A,FALSE,"단축2";#N/A,#N/A,FALSE,"단축3";#N/A,#N/A,FALSE,"장축";#N/A,#N/A,FALSE,"4WD"}</definedName>
    <definedName name="EADAF" localSheetId="0" hidden="1">{#N/A,#N/A,FALSE,"단축1";#N/A,#N/A,FALSE,"단축2";#N/A,#N/A,FALSE,"단축3";#N/A,#N/A,FALSE,"장축";#N/A,#N/A,FALSE,"4WD"}</definedName>
    <definedName name="EADAF" hidden="1">{#N/A,#N/A,FALSE,"단축1";#N/A,#N/A,FALSE,"단축2";#N/A,#N/A,FALSE,"단축3";#N/A,#N/A,FALSE,"장축";#N/A,#N/A,FALSE,"4WD"}</definedName>
    <definedName name="EEEEE" localSheetId="0" hidden="1">{#N/A,#N/A,FALSE,"단축1";#N/A,#N/A,FALSE,"단축2";#N/A,#N/A,FALSE,"단축3";#N/A,#N/A,FALSE,"장축";#N/A,#N/A,FALSE,"4WD"}</definedName>
    <definedName name="EEEEE" hidden="1">{#N/A,#N/A,FALSE,"단축1";#N/A,#N/A,FALSE,"단축2";#N/A,#N/A,FALSE,"단축3";#N/A,#N/A,FALSE,"장축";#N/A,#N/A,FALSE,"4WD"}</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ND" localSheetId="0" hidden="1">{#N/A,#N/A,FALSE,"단축1";#N/A,#N/A,FALSE,"단축2";#N/A,#N/A,FALSE,"단축3";#N/A,#N/A,FALSE,"장축";#N/A,#N/A,FALSE,"4WD"}</definedName>
    <definedName name="END" hidden="1">{#N/A,#N/A,FALSE,"단축1";#N/A,#N/A,FALSE,"단축2";#N/A,#N/A,FALSE,"단축3";#N/A,#N/A,FALSE,"장축";#N/A,#N/A,FALSE,"4WD"}</definedName>
    <definedName name="EO계획" hidden="1">#REF!</definedName>
    <definedName name="EPS">[4]Reporting!$A$38:$A$40</definedName>
    <definedName name="ert" localSheetId="0" hidden="1">{#N/A,#N/A,FALSE,"단축1";#N/A,#N/A,FALSE,"단축2";#N/A,#N/A,FALSE,"단축3";#N/A,#N/A,FALSE,"장축";#N/A,#N/A,FALSE,"4WD"}</definedName>
    <definedName name="ert" hidden="1">{#N/A,#N/A,FALSE,"단축1";#N/A,#N/A,FALSE,"단축2";#N/A,#N/A,FALSE,"단축3";#N/A,#N/A,FALSE,"장축";#N/A,#N/A,FALSE,"4WD"}</definedName>
    <definedName name="etete" localSheetId="0" hidden="1">{#N/A,#N/A,FALSE,"표지";#N/A,#N/A,FALSE,"전제";#N/A,#N/A,FALSE,"손익-자 (2)";#N/A,#N/A,FALSE,"손익-자";#N/A,#N/A,FALSE,"손익-마 (2)";#N/A,#N/A,FALSE,"손익-마";#N/A,#N/A,FALSE,"총손최종"}</definedName>
    <definedName name="etete" hidden="1">{#N/A,#N/A,FALSE,"표지";#N/A,#N/A,FALSE,"전제";#N/A,#N/A,FALSE,"손익-자 (2)";#N/A,#N/A,FALSE,"손익-자";#N/A,#N/A,FALSE,"손익-마 (2)";#N/A,#N/A,FALSE,"손익-마";#N/A,#N/A,FALSE,"총손최종"}</definedName>
    <definedName name="EV__LASTREFTIME__" hidden="1">"2012-02-06 오후 4:50:03"</definedName>
    <definedName name="eww" localSheetId="0" hidden="1">{#N/A,#N/A,FALSE,"단축1";#N/A,#N/A,FALSE,"단축2";#N/A,#N/A,FALSE,"단축3";#N/A,#N/A,FALSE,"장축";#N/A,#N/A,FALSE,"4WD"}</definedName>
    <definedName name="eww" hidden="1">{#N/A,#N/A,FALSE,"단축1";#N/A,#N/A,FALSE,"단축2";#N/A,#N/A,FALSE,"단축3";#N/A,#N/A,FALSE,"장축";#N/A,#N/A,FALSE,"4WD"}</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F" localSheetId="0" hidden="1">{#N/A,#N/A,FALSE,"96 3월물량표";#N/A,#N/A,FALSE,"96 4월물량표";#N/A,#N/A,FALSE,"96 5월물량표"}</definedName>
    <definedName name="F" hidden="1">{#N/A,#N/A,FALSE,"96 3월물량표";#N/A,#N/A,FALSE,"96 4월물량표";#N/A,#N/A,FALSE,"96 5월물량표"}</definedName>
    <definedName name="FA" localSheetId="0" hidden="1">{#N/A,#N/A,FALSE,"단축1";#N/A,#N/A,FALSE,"단축2";#N/A,#N/A,FALSE,"단축3";#N/A,#N/A,FALSE,"장축";#N/A,#N/A,FALSE,"4WD"}</definedName>
    <definedName name="FA" hidden="1">{#N/A,#N/A,FALSE,"단축1";#N/A,#N/A,FALSE,"단축2";#N/A,#N/A,FALSE,"단축3";#N/A,#N/A,FALSE,"장축";#N/A,#N/A,FALSE,"4WD"}</definedName>
    <definedName name="FASA" localSheetId="0" hidden="1">{#N/A,#N/A,FALSE,"단축1";#N/A,#N/A,FALSE,"단축2";#N/A,#N/A,FALSE,"단축3";#N/A,#N/A,FALSE,"장축";#N/A,#N/A,FALSE,"4WD"}</definedName>
    <definedName name="FASA" hidden="1">{#N/A,#N/A,FALSE,"단축1";#N/A,#N/A,FALSE,"단축2";#N/A,#N/A,FALSE,"단축3";#N/A,#N/A,FALSE,"장축";#N/A,#N/A,FALSE,"4WD"}</definedName>
    <definedName name="FC" localSheetId="0" hidden="1">{#N/A,#N/A,FALSE,"단축1";#N/A,#N/A,FALSE,"단축2";#N/A,#N/A,FALSE,"단축3";#N/A,#N/A,FALSE,"장축";#N/A,#N/A,FALSE,"4WD"}</definedName>
    <definedName name="FC" hidden="1">{#N/A,#N/A,FALSE,"단축1";#N/A,#N/A,FALSE,"단축2";#N/A,#N/A,FALSE,"단축3";#N/A,#N/A,FALSE,"장축";#N/A,#N/A,FALSE,"4WD"}</definedName>
    <definedName name="FC_신차_PERT" hidden="1">#REF!</definedName>
    <definedName name="FDAS" localSheetId="0" hidden="1">{#N/A,#N/A,FALSE,"단축1";#N/A,#N/A,FALSE,"단축2";#N/A,#N/A,FALSE,"단축3";#N/A,#N/A,FALSE,"장축";#N/A,#N/A,FALSE,"4WD"}</definedName>
    <definedName name="FDAS" hidden="1">{#N/A,#N/A,FALSE,"단축1";#N/A,#N/A,FALSE,"단축2";#N/A,#N/A,FALSE,"단축3";#N/A,#N/A,FALSE,"장축";#N/A,#N/A,FALSE,"4WD"}</definedName>
    <definedName name="fdf" localSheetId="0" hidden="1">{#N/A,#N/A,FALSE,"표지";#N/A,#N/A,FALSE,"전제";#N/A,#N/A,FALSE,"손익-자 (2)";#N/A,#N/A,FALSE,"손익-자";#N/A,#N/A,FALSE,"손익-마 (2)";#N/A,#N/A,FALSE,"손익-마";#N/A,#N/A,FALSE,"총손최종"}</definedName>
    <definedName name="fdf" hidden="1">{#N/A,#N/A,FALSE,"표지";#N/A,#N/A,FALSE,"전제";#N/A,#N/A,FALSE,"손익-자 (2)";#N/A,#N/A,FALSE,"손익-자";#N/A,#N/A,FALSE,"손익-마 (2)";#N/A,#N/A,FALSE,"손익-마";#N/A,#N/A,FALSE,"총손최종"}</definedName>
    <definedName name="fdfdf" localSheetId="0"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kjkj" localSheetId="0" hidden="1">{#N/A,#N/A,FALSE,"단축1";#N/A,#N/A,FALSE,"단축2";#N/A,#N/A,FALSE,"단축3";#N/A,#N/A,FALSE,"장축";#N/A,#N/A,FALSE,"4WD"}</definedName>
    <definedName name="fdkjkj" hidden="1">{#N/A,#N/A,FALSE,"단축1";#N/A,#N/A,FALSE,"단축2";#N/A,#N/A,FALSE,"단축3";#N/A,#N/A,FALSE,"장축";#N/A,#N/A,FALSE,"4WD"}</definedName>
    <definedName name="fdsa" localSheetId="0" hidden="1">{#N/A,#N/A,FALSE,"단축1";#N/A,#N/A,FALSE,"단축2";#N/A,#N/A,FALSE,"단축3";#N/A,#N/A,FALSE,"장축";#N/A,#N/A,FALSE,"4WD"}</definedName>
    <definedName name="fdsa" hidden="1">{#N/A,#N/A,FALSE,"단축1";#N/A,#N/A,FALSE,"단축2";#N/A,#N/A,FALSE,"단축3";#N/A,#N/A,FALSE,"장축";#N/A,#N/A,FALSE,"4WD"}</definedName>
    <definedName name="FDSS" localSheetId="0" hidden="1">{#N/A,#N/A,FALSE,"단축1";#N/A,#N/A,FALSE,"단축2";#N/A,#N/A,FALSE,"단축3";#N/A,#N/A,FALSE,"장축";#N/A,#N/A,FALSE,"4WD"}</definedName>
    <definedName name="FDSS" hidden="1">{#N/A,#N/A,FALSE,"단축1";#N/A,#N/A,FALSE,"단축2";#N/A,#N/A,FALSE,"단축3";#N/A,#N/A,FALSE,"장축";#N/A,#N/A,FALSE,"4WD"}</definedName>
    <definedName name="FGHJJ" localSheetId="0" hidden="1">{#N/A,#N/A,FALSE,"단축1";#N/A,#N/A,FALSE,"단축2";#N/A,#N/A,FALSE,"단축3";#N/A,#N/A,FALSE,"장축";#N/A,#N/A,FALSE,"4WD"}</definedName>
    <definedName name="FGHJJ" hidden="1">{#N/A,#N/A,FALSE,"단축1";#N/A,#N/A,FALSE,"단축2";#N/A,#N/A,FALSE,"단축3";#N/A,#N/A,FALSE,"장축";#N/A,#N/A,FALSE,"4WD"}</definedName>
    <definedName name="FGJHHD" localSheetId="0" hidden="1">{#N/A,#N/A,FALSE,"단축1";#N/A,#N/A,FALSE,"단축2";#N/A,#N/A,FALSE,"단축3";#N/A,#N/A,FALSE,"장축";#N/A,#N/A,FALSE,"4WD"}</definedName>
    <definedName name="FGJHHD" hidden="1">{#N/A,#N/A,FALSE,"단축1";#N/A,#N/A,FALSE,"단축2";#N/A,#N/A,FALSE,"단축3";#N/A,#N/A,FALSE,"장축";#N/A,#N/A,FALSE,"4WD"}</definedName>
    <definedName name="FJD" localSheetId="0" hidden="1">{#N/A,#N/A,FALSE,"단축1";#N/A,#N/A,FALSE,"단축2";#N/A,#N/A,FALSE,"단축3";#N/A,#N/A,FALSE,"장축";#N/A,#N/A,FALSE,"4WD"}</definedName>
    <definedName name="FJD" hidden="1">{#N/A,#N/A,FALSE,"단축1";#N/A,#N/A,FALSE,"단축2";#N/A,#N/A,FALSE,"단축3";#N/A,#N/A,FALSE,"장축";#N/A,#N/A,FALSE,"4WD"}</definedName>
    <definedName name="fkdjkdfjkdsf" localSheetId="0" hidden="1">{#N/A,#N/A,FALSE,"단축1";#N/A,#N/A,FALSE,"단축2";#N/A,#N/A,FALSE,"단축3";#N/A,#N/A,FALSE,"장축";#N/A,#N/A,FALSE,"4WD"}</definedName>
    <definedName name="fkdjkdfjkdsf" hidden="1">{#N/A,#N/A,FALSE,"단축1";#N/A,#N/A,FALSE,"단축2";#N/A,#N/A,FALSE,"단축3";#N/A,#N/A,FALSE,"장축";#N/A,#N/A,FALSE,"4WD"}</definedName>
    <definedName name="FKFKFK" localSheetId="0" hidden="1">{#N/A,#N/A,FALSE,"단축1";#N/A,#N/A,FALSE,"단축2";#N/A,#N/A,FALSE,"단축3";#N/A,#N/A,FALSE,"장축";#N/A,#N/A,FALSE,"4WD"}</definedName>
    <definedName name="FKFKFK" hidden="1">{#N/A,#N/A,FALSE,"단축1";#N/A,#N/A,FALSE,"단축2";#N/A,#N/A,FALSE,"단축3";#N/A,#N/A,FALSE,"장축";#N/A,#N/A,FALSE,"4WD"}</definedName>
    <definedName name="fkla" localSheetId="0" hidden="1">{#N/A,#N/A,TRUE,"Y생산";#N/A,#N/A,TRUE,"Y판매";#N/A,#N/A,TRUE,"Y총물량";#N/A,#N/A,TRUE,"Y능력";#N/A,#N/A,TRUE,"YKD"}</definedName>
    <definedName name="fkla" hidden="1">{#N/A,#N/A,TRUE,"Y생산";#N/A,#N/A,TRUE,"Y판매";#N/A,#N/A,TRUE,"Y총물량";#N/A,#N/A,TRUE,"Y능력";#N/A,#N/A,TRUE,"YKD"}</definedName>
    <definedName name="FL" localSheetId="0" hidden="1">{#N/A,#N/A,FALSE,"단축1";#N/A,#N/A,FALSE,"단축2";#N/A,#N/A,FALSE,"단축3";#N/A,#N/A,FALSE,"장축";#N/A,#N/A,FALSE,"4WD"}</definedName>
    <definedName name="FL" hidden="1">{#N/A,#N/A,FALSE,"단축1";#N/A,#N/A,FALSE,"단축2";#N/A,#N/A,FALSE,"단축3";#N/A,#N/A,FALSE,"장축";#N/A,#N/A,FALSE,"4WD"}</definedName>
    <definedName name="Flaig" localSheetId="0" hidden="1">{#N/A,#N/A,FALSE,"단축1";#N/A,#N/A,FALSE,"단축2";#N/A,#N/A,FALSE,"단축3";#N/A,#N/A,FALSE,"장축";#N/A,#N/A,FALSE,"4WD"}</definedName>
    <definedName name="Flaig" hidden="1">{#N/A,#N/A,FALSE,"단축1";#N/A,#N/A,FALSE,"단축2";#N/A,#N/A,FALSE,"단축3";#N/A,#N/A,FALSE,"장축";#N/A,#N/A,FALSE,"4WD"}</definedName>
    <definedName name="FLEXIBLE.T.L" localSheetId="0" hidden="1">{#N/A,#N/A,FALSE,"단축1";#N/A,#N/A,FALSE,"단축2";#N/A,#N/A,FALSE,"단축3";#N/A,#N/A,FALSE,"장축";#N/A,#N/A,FALSE,"4WD"}</definedName>
    <definedName name="FLEXIBLE.T.L" hidden="1">{#N/A,#N/A,FALSE,"단축1";#N/A,#N/A,FALSE,"단축2";#N/A,#N/A,FALSE,"단축3";#N/A,#N/A,FALSE,"장축";#N/A,#N/A,FALSE,"4WD"}</definedName>
    <definedName name="FLOW" localSheetId="0" hidden="1">{#N/A,#N/A,FALSE,"단축1";#N/A,#N/A,FALSE,"단축2";#N/A,#N/A,FALSE,"단축3";#N/A,#N/A,FALSE,"장축";#N/A,#N/A,FALSE,"4WD"}</definedName>
    <definedName name="FLOW"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OB가" localSheetId="0" hidden="1">{#N/A,#N/A,FALSE,"단축1";#N/A,#N/A,FALSE,"단축2";#N/A,#N/A,FALSE,"단축3";#N/A,#N/A,FALSE,"장축";#N/A,#N/A,FALSE,"4WD"}</definedName>
    <definedName name="FOB가" hidden="1">{#N/A,#N/A,FALSE,"단축1";#N/A,#N/A,FALSE,"단축2";#N/A,#N/A,FALSE,"단축3";#N/A,#N/A,FALSE,"장축";#N/A,#N/A,FALSE,"4WD"}</definedName>
    <definedName name="FS요약">#REF!</definedName>
    <definedName name="Fuel_EF">'[8]#배출계수DB_9_European_Commision_EF'!$C$8:$L$30</definedName>
    <definedName name="gfhjh" localSheetId="0" hidden="1">{#N/A,#N/A,FALSE,"단축1";#N/A,#N/A,FALSE,"단축2";#N/A,#N/A,FALSE,"단축3";#N/A,#N/A,FALSE,"장축";#N/A,#N/A,FALSE,"4WD"}</definedName>
    <definedName name="gfhjh" hidden="1">{#N/A,#N/A,FALSE,"단축1";#N/A,#N/A,FALSE,"단축2";#N/A,#N/A,FALSE,"단축3";#N/A,#N/A,FALSE,"장축";#N/A,#N/A,FALSE,"4WD"}</definedName>
    <definedName name="GFJH" localSheetId="0" hidden="1">{#N/A,#N/A,FALSE,"신규dep";#N/A,#N/A,FALSE,"신규dep-금형상각후";#N/A,#N/A,FALSE,"신규dep-연구비상각후";#N/A,#N/A,FALSE,"신규dep-기계,공구상각후"}</definedName>
    <definedName name="GFJH" hidden="1">{#N/A,#N/A,FALSE,"신규dep";#N/A,#N/A,FALSE,"신규dep-금형상각후";#N/A,#N/A,FALSE,"신규dep-연구비상각후";#N/A,#N/A,FALSE,"신규dep-기계,공구상각후"}</definedName>
    <definedName name="gfld" localSheetId="0" hidden="1">{#N/A,#N/A,TRUE,"Y생산";#N/A,#N/A,TRUE,"Y판매";#N/A,#N/A,TRUE,"Y총물량";#N/A,#N/A,TRUE,"Y능력";#N/A,#N/A,TRUE,"YKD"}</definedName>
    <definedName name="gfld" hidden="1">{#N/A,#N/A,TRUE,"Y생산";#N/A,#N/A,TRUE,"Y판매";#N/A,#N/A,TRUE,"Y총물량";#N/A,#N/A,TRUE,"Y능력";#N/A,#N/A,TRUE,"YKD"}</definedName>
    <definedName name="GGGG" localSheetId="0" hidden="1">{#N/A,#N/A,FALSE,"품의서";#N/A,#N/A,FALSE,"전제";#N/A,#N/A,FALSE,"총손";#N/A,#N/A,FALSE,"손익";#N/A,#N/A,FALSE,"대당";#N/A,#N/A,FALSE,"가공비";#N/A,#N/A,FALSE,"재료비";#N/A,#N/A,FALSE,"판비";#N/A,#N/A,FALSE,"가격"}</definedName>
    <definedName name="GGGG" hidden="1">{#N/A,#N/A,FALSE,"품의서";#N/A,#N/A,FALSE,"전제";#N/A,#N/A,FALSE,"총손";#N/A,#N/A,FALSE,"손익";#N/A,#N/A,FALSE,"대당";#N/A,#N/A,FALSE,"가공비";#N/A,#N/A,FALSE,"재료비";#N/A,#N/A,FALSE,"판비";#N/A,#N/A,FALSE,"가격"}</definedName>
    <definedName name="GGGG2" localSheetId="0"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DGH" localSheetId="0" hidden="1">{#N/A,#N/A,FALSE,"단축1";#N/A,#N/A,FALSE,"단축2";#N/A,#N/A,FALSE,"단축3";#N/A,#N/A,FALSE,"장축";#N/A,#N/A,FALSE,"4WD"}</definedName>
    <definedName name="GHDGH" hidden="1">{#N/A,#N/A,FALSE,"단축1";#N/A,#N/A,FALSE,"단축2";#N/A,#N/A,FALSE,"단축3";#N/A,#N/A,FALSE,"장축";#N/A,#N/A,FALSE,"4WD"}</definedName>
    <definedName name="GHJFGJ" localSheetId="0" hidden="1">{#N/A,#N/A,FALSE,"단축1";#N/A,#N/A,FALSE,"단축2";#N/A,#N/A,FALSE,"단축3";#N/A,#N/A,FALSE,"장축";#N/A,#N/A,FALSE,"4WD"}</definedName>
    <definedName name="GHJFGJ" hidden="1">{#N/A,#N/A,FALSE,"단축1";#N/A,#N/A,FALSE,"단축2";#N/A,#N/A,FALSE,"단축3";#N/A,#N/A,FALSE,"장축";#N/A,#N/A,FALSE,"4WD"}</definedName>
    <definedName name="GHKJFKJ" localSheetId="0" hidden="1">{#N/A,#N/A,FALSE,"단축1";#N/A,#N/A,FALSE,"단축2";#N/A,#N/A,FALSE,"단축3";#N/A,#N/A,FALSE,"장축";#N/A,#N/A,FALSE,"4WD"}</definedName>
    <definedName name="GHKJFKJ" hidden="1">{#N/A,#N/A,FALSE,"단축1";#N/A,#N/A,FALSE,"단축2";#N/A,#N/A,FALSE,"단축3";#N/A,#N/A,FALSE,"장축";#N/A,#N/A,FALSE,"4WD"}</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GK1" localSheetId="0"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localSheetId="0" hidden="1">{#N/A,#N/A,FALSE,"단축1";#N/A,#N/A,FALSE,"단축2";#N/A,#N/A,FALSE,"단축3";#N/A,#N/A,FALSE,"장축";#N/A,#N/A,FALSE,"4WD"}</definedName>
    <definedName name="gjjgfkdkkgk" hidden="1">{#N/A,#N/A,FALSE,"단축1";#N/A,#N/A,FALSE,"단축2";#N/A,#N/A,FALSE,"단축3";#N/A,#N/A,FALSE,"장축";#N/A,#N/A,FALSE,"4WD"}</definedName>
    <definedName name="gkdk" localSheetId="0" hidden="1">{#N/A,#N/A,FALSE,"단축1";#N/A,#N/A,FALSE,"단축2";#N/A,#N/A,FALSE,"단축3";#N/A,#N/A,FALSE,"장축";#N/A,#N/A,FALSE,"4WD"}</definedName>
    <definedName name="gkdk" hidden="1">{#N/A,#N/A,FALSE,"단축1";#N/A,#N/A,FALSE,"단축2";#N/A,#N/A,FALSE,"단축3";#N/A,#N/A,FALSE,"장축";#N/A,#N/A,FALSE,"4WD"}</definedName>
    <definedName name="GK경비LXLZ제외반영" localSheetId="0" hidden="1">{#N/A,#N/A,FALSE,"단축1";#N/A,#N/A,FALSE,"단축2";#N/A,#N/A,FALSE,"단축3";#N/A,#N/A,FALSE,"장축";#N/A,#N/A,FALSE,"4WD"}</definedName>
    <definedName name="GK경비LXLZ제외반영" hidden="1">{#N/A,#N/A,FALSE,"단축1";#N/A,#N/A,FALSE,"단축2";#N/A,#N/A,FALSE,"단축3";#N/A,#N/A,FALSE,"장축";#N/A,#N/A,FALSE,"4WD"}</definedName>
    <definedName name="glad" localSheetId="0" hidden="1">{#N/A,#N/A,FALSE,"단축1";#N/A,#N/A,FALSE,"단축2";#N/A,#N/A,FALSE,"단축3";#N/A,#N/A,FALSE,"장축";#N/A,#N/A,FALSE,"4WD"}</definedName>
    <definedName name="glad" hidden="1">{#N/A,#N/A,FALSE,"단축1";#N/A,#N/A,FALSE,"단축2";#N/A,#N/A,FALSE,"단축3";#N/A,#N/A,FALSE,"장축";#N/A,#N/A,FALSE,"4WD"}</definedName>
    <definedName name="glglglg" localSheetId="0" hidden="1">{#N/A,#N/A,FALSE,"단축1";#N/A,#N/A,FALSE,"단축2";#N/A,#N/A,FALSE,"단축3";#N/A,#N/A,FALSE,"장축";#N/A,#N/A,FALSE,"4WD"}</definedName>
    <definedName name="glglglg" hidden="1">{#N/A,#N/A,FALSE,"단축1";#N/A,#N/A,FALSE,"단축2";#N/A,#N/A,FALSE,"단축3";#N/A,#N/A,FALSE,"장축";#N/A,#N/A,FALSE,"4WD"}</definedName>
    <definedName name="GRADE1">'[10]DB-계약완료'!$C$4:$C$157</definedName>
    <definedName name="GRADE2">'[10]DB-계약예정'!$C$4:$C$75</definedName>
    <definedName name="half_life">[7]Defaults!$D$8:$K$12</definedName>
    <definedName name="HFG" localSheetId="0" hidden="1">{#N/A,#N/A,TRUE,"Y생산";#N/A,#N/A,TRUE,"Y판매";#N/A,#N/A,TRUE,"Y총물량";#N/A,#N/A,TRUE,"Y능력";#N/A,#N/A,TRUE,"YKD"}</definedName>
    <definedName name="HFG" hidden="1">{#N/A,#N/A,TRUE,"Y생산";#N/A,#N/A,TRUE,"Y판매";#N/A,#N/A,TRUE,"Y총물량";#N/A,#N/A,TRUE,"Y능력";#N/A,#N/A,TRUE,"YKD"}</definedName>
    <definedName name="HME기준" localSheetId="0" hidden="1">{#N/A,#N/A,FALSE,"단축1";#N/A,#N/A,FALSE,"단축2";#N/A,#N/A,FALSE,"단축3";#N/A,#N/A,FALSE,"장축";#N/A,#N/A,FALSE,"4WD"}</definedName>
    <definedName name="HME기준" hidden="1">{#N/A,#N/A,FALSE,"단축1";#N/A,#N/A,FALSE,"단축2";#N/A,#N/A,FALSE,"단축3";#N/A,#N/A,FALSE,"장축";#N/A,#N/A,FALSE,"4WD"}</definedName>
    <definedName name="HOHOHOH" localSheetId="0" hidden="1">{#N/A,#N/A,FALSE,"단축1";#N/A,#N/A,FALSE,"단축2";#N/A,#N/A,FALSE,"단축3";#N/A,#N/A,FALSE,"장축";#N/A,#N/A,FALSE,"4WD"}</definedName>
    <definedName name="HOHOHOH" hidden="1">{#N/A,#N/A,FALSE,"단축1";#N/A,#N/A,FALSE,"단축2";#N/A,#N/A,FALSE,"단축3";#N/A,#N/A,FALSE,"장축";#N/A,#N/A,FALSE,"4WD"}</definedName>
    <definedName name="howToChange">#REF!</definedName>
    <definedName name="howToCheck">#REF!</definedName>
    <definedName name="HTML_CodePage" hidden="1">1252</definedName>
    <definedName name="HTML_Control" localSheetId="0" hidden="1">{"'Balance Sheets'!$A$1:$H$33"}</definedName>
    <definedName name="HTML_Control" hidden="1">{"'Balance Sheets'!$A$1:$H$33"}</definedName>
    <definedName name="HTML_Description" hidden="1">""</definedName>
    <definedName name="HTML_Email" hidden="1">""</definedName>
    <definedName name="HTML_Header" hidden="1">""</definedName>
    <definedName name="HTML_LastUpdate" hidden="1">"12/20/00"</definedName>
    <definedName name="HTML_LineAfter" hidden="1">FALSE</definedName>
    <definedName name="HTML_LineBefore" hidden="1">TRUE</definedName>
    <definedName name="HTML_Name" hidden="1">"Joseph Tomczak"</definedName>
    <definedName name="HTML_OBDlg2" hidden="1">TRUE</definedName>
    <definedName name="HTML_OBDlg4" hidden="1">TRUE</definedName>
    <definedName name="HTML_OS" hidden="1">0</definedName>
    <definedName name="HTML_PathFile" hidden="1">"R:\B12666\Profit Ctr Hierarchy\ProfitCenterHierarchyBalanceSheetNodes.htm"</definedName>
    <definedName name="HTML_Title" hidden="1">"Product Hierarchy v8'2"</definedName>
    <definedName name="HYP" hidden="1">#REF!</definedName>
    <definedName name="ic" localSheetId="0" hidden="1">{#N/A,#N/A,FALSE,"단축1";#N/A,#N/A,FALSE,"단축2";#N/A,#N/A,FALSE,"단축3";#N/A,#N/A,FALSE,"장축";#N/A,#N/A,FALSE,"4WD"}</definedName>
    <definedName name="ic" hidden="1">{#N/A,#N/A,FALSE,"단축1";#N/A,#N/A,FALSE,"단축2";#N/A,#N/A,FALSE,"단축3";#N/A,#N/A,FALSE,"장축";#N/A,#N/A,FALSE,"4WD"}</definedName>
    <definedName name="jghjk" localSheetId="0" hidden="1">{#N/A,#N/A,FALSE,"단축1";#N/A,#N/A,FALSE,"단축2";#N/A,#N/A,FALSE,"단축3";#N/A,#N/A,FALSE,"장축";#N/A,#N/A,FALSE,"4WD"}</definedName>
    <definedName name="jghjk" hidden="1">{#N/A,#N/A,FALSE,"단축1";#N/A,#N/A,FALSE,"단축2";#N/A,#N/A,FALSE,"단축3";#N/A,#N/A,FALSE,"장축";#N/A,#N/A,FALSE,"4WD"}</definedName>
    <definedName name="jhdjhdkjs" localSheetId="0" hidden="1">{#N/A,#N/A,FALSE,"단축1";#N/A,#N/A,FALSE,"단축2";#N/A,#N/A,FALSE,"단축3";#N/A,#N/A,FALSE,"장축";#N/A,#N/A,FALSE,"4WD"}</definedName>
    <definedName name="jhdjhdkjs" hidden="1">{#N/A,#N/A,FALSE,"단축1";#N/A,#N/A,FALSE,"단축2";#N/A,#N/A,FALSE,"단축3";#N/A,#N/A,FALSE,"장축";#N/A,#N/A,FALSE,"4WD"}</definedName>
    <definedName name="jhg" localSheetId="0" hidden="1">{#N/A,#N/A,FALSE,"단축1";#N/A,#N/A,FALSE,"단축2";#N/A,#N/A,FALSE,"단축3";#N/A,#N/A,FALSE,"장축";#N/A,#N/A,FALSE,"4WD"}</definedName>
    <definedName name="jhg" hidden="1">{#N/A,#N/A,FALSE,"단축1";#N/A,#N/A,FALSE,"단축2";#N/A,#N/A,FALSE,"단축3";#N/A,#N/A,FALSE,"장축";#N/A,#N/A,FALSE,"4WD"}</definedName>
    <definedName name="jjdjdjdjjs" localSheetId="0" hidden="1">{#N/A,#N/A,FALSE,"단축1";#N/A,#N/A,FALSE,"단축2";#N/A,#N/A,FALSE,"단축3";#N/A,#N/A,FALSE,"장축";#N/A,#N/A,FALSE,"4WD"}</definedName>
    <definedName name="jjdjdjdjjs" hidden="1">{#N/A,#N/A,FALSE,"단축1";#N/A,#N/A,FALSE,"단축2";#N/A,#N/A,FALSE,"단축3";#N/A,#N/A,FALSE,"장축";#N/A,#N/A,FALSE,"4WD"}</definedName>
    <definedName name="JKJHK" localSheetId="0" hidden="1">{#N/A,#N/A,FALSE,"단축1";#N/A,#N/A,FALSE,"단축2";#N/A,#N/A,FALSE,"단축3";#N/A,#N/A,FALSE,"장축";#N/A,#N/A,FALSE,"4WD"}</definedName>
    <definedName name="JKJHK" hidden="1">{#N/A,#N/A,FALSE,"단축1";#N/A,#N/A,FALSE,"단축2";#N/A,#N/A,FALSE,"단축3";#N/A,#N/A,FALSE,"장축";#N/A,#N/A,FALSE,"4WD"}</definedName>
    <definedName name="ka" localSheetId="0" hidden="1">{#N/A,#N/A,FALSE,"단축1";#N/A,#N/A,FALSE,"단축2";#N/A,#N/A,FALSE,"단축3";#N/A,#N/A,FALSE,"장축";#N/A,#N/A,FALSE,"4WD"}</definedName>
    <definedName name="ka" hidden="1">{#N/A,#N/A,FALSE,"단축1";#N/A,#N/A,FALSE,"단축2";#N/A,#N/A,FALSE,"단축3";#N/A,#N/A,FALSE,"장축";#N/A,#N/A,FALSE,"4WD"}</definedName>
    <definedName name="KDH" localSheetId="0" hidden="1">{#N/A,#N/A,FALSE,"표지";#N/A,#N/A,FALSE,"전제";#N/A,#N/A,FALSE,"손익-자 (2)";#N/A,#N/A,FALSE,"손익-자";#N/A,#N/A,FALSE,"손익-마 (2)";#N/A,#N/A,FALSE,"손익-마";#N/A,#N/A,FALSE,"총손최종"}</definedName>
    <definedName name="KDH" hidden="1">{#N/A,#N/A,FALSE,"표지";#N/A,#N/A,FALSE,"전제";#N/A,#N/A,FALSE,"손익-자 (2)";#N/A,#N/A,FALSE,"손익-자";#N/A,#N/A,FALSE,"손익-마 (2)";#N/A,#N/A,FALSE,"손익-마";#N/A,#N/A,FALSE,"총손최종"}</definedName>
    <definedName name="KIM">#REF!</definedName>
    <definedName name="KJFGDFG" localSheetId="0" hidden="1">{#N/A,#N/A,FALSE,"단축1";#N/A,#N/A,FALSE,"단축2";#N/A,#N/A,FALSE,"단축3";#N/A,#N/A,FALSE,"장축";#N/A,#N/A,FALSE,"4WD"}</definedName>
    <definedName name="KJFGDFG" hidden="1">{#N/A,#N/A,FALSE,"단축1";#N/A,#N/A,FALSE,"단축2";#N/A,#N/A,FALSE,"단축3";#N/A,#N/A,FALSE,"장축";#N/A,#N/A,FALSE,"4WD"}</definedName>
    <definedName name="KK" localSheetId="0" hidden="1">{#N/A,#N/A,FALSE,"해외크레임";#N/A,#N/A,FALSE,"ACCENT현황";#N/A,#N/A,FALSE,"AVANTE";#N/A,#N/A,FALSE,"SONATA(3)";#N/A,#N/A,FALSE,"국내크레임"}</definedName>
    <definedName name="KK" hidden="1">{#N/A,#N/A,FALSE,"해외크레임";#N/A,#N/A,FALSE,"ACCENT현황";#N/A,#N/A,FALSE,"AVANTE";#N/A,#N/A,FALSE,"SONATA(3)";#N/A,#N/A,FALSE,"국내크레임"}</definedName>
    <definedName name="KKK" localSheetId="0" hidden="1">{#N/A,#N/A,FALSE,"단축1";#N/A,#N/A,FALSE,"단축2";#N/A,#N/A,FALSE,"단축3";#N/A,#N/A,FALSE,"장축";#N/A,#N/A,FALSE,"4WD"}</definedName>
    <definedName name="KKK" hidden="1">{#N/A,#N/A,FALSE,"단축1";#N/A,#N/A,FALSE,"단축2";#N/A,#N/A,FALSE,"단축3";#N/A,#N/A,FALSE,"장축";#N/A,#N/A,FALSE,"4WD"}</definedName>
    <definedName name="kkkds" localSheetId="0" hidden="1">{#N/A,#N/A,FALSE,"단축1";#N/A,#N/A,FALSE,"단축2";#N/A,#N/A,FALSE,"단축3";#N/A,#N/A,FALSE,"장축";#N/A,#N/A,FALSE,"4WD"}</definedName>
    <definedName name="kkkds" hidden="1">{#N/A,#N/A,FALSE,"단축1";#N/A,#N/A,FALSE,"단축2";#N/A,#N/A,FALSE,"단축3";#N/A,#N/A,FALSE,"장축";#N/A,#N/A,FALSE,"4WD"}</definedName>
    <definedName name="kkkkk" localSheetId="0" hidden="1">{#N/A,#N/A,FALSE,"단축1";#N/A,#N/A,FALSE,"단축2";#N/A,#N/A,FALSE,"단축3";#N/A,#N/A,FALSE,"장축";#N/A,#N/A,FALSE,"4WD"}</definedName>
    <definedName name="kkkkk" hidden="1">{#N/A,#N/A,FALSE,"단축1";#N/A,#N/A,FALSE,"단축2";#N/A,#N/A,FALSE,"단축3";#N/A,#N/A,FALSE,"장축";#N/A,#N/A,FALSE,"4WD"}</definedName>
    <definedName name="KLK" localSheetId="0" hidden="1">{#N/A,#N/A,FALSE,"단축1";#N/A,#N/A,FALSE,"단축2";#N/A,#N/A,FALSE,"단축3";#N/A,#N/A,FALSE,"장축";#N/A,#N/A,FALSE,"4WD"}</definedName>
    <definedName name="KLK" hidden="1">{#N/A,#N/A,FALSE,"단축1";#N/A,#N/A,FALSE,"단축2";#N/A,#N/A,FALSE,"단축3";#N/A,#N/A,FALSE,"장축";#N/A,#N/A,FALSE,"4WD"}</definedName>
    <definedName name="KTMARK" localSheetId="0" hidden="1">{#N/A,#N/A,FALSE,"단축1";#N/A,#N/A,FALSE,"단축2";#N/A,#N/A,FALSE,"단축3";#N/A,#N/A,FALSE,"장축";#N/A,#N/A,FALSE,"4WD"}</definedName>
    <definedName name="KTMARK" hidden="1">{#N/A,#N/A,FALSE,"단축1";#N/A,#N/A,FALSE,"단축2";#N/A,#N/A,FALSE,"단축3";#N/A,#N/A,FALSE,"장축";#N/A,#N/A,FALSE,"4WD"}</definedName>
    <definedName name="KU" localSheetId="0" hidden="1">{#N/A,#N/A,TRUE,"Y생산";#N/A,#N/A,TRUE,"Y판매";#N/A,#N/A,TRUE,"Y총물량";#N/A,#N/A,TRUE,"Y능력";#N/A,#N/A,TRUE,"YKD"}</definedName>
    <definedName name="KU" hidden="1">{#N/A,#N/A,TRUE,"Y생산";#N/A,#N/A,TRUE,"Y판매";#N/A,#N/A,TRUE,"Y총물량";#N/A,#N/A,TRUE,"Y능력";#N/A,#N/A,TRUE,"YKD"}</definedName>
    <definedName name="last" localSheetId="0" hidden="1">{#N/A,#N/A,FALSE,"단축1";#N/A,#N/A,FALSE,"단축2";#N/A,#N/A,FALSE,"단축3";#N/A,#N/A,FALSE,"장축";#N/A,#N/A,FALSE,"4WD"}</definedName>
    <definedName name="last" hidden="1">{#N/A,#N/A,FALSE,"단축1";#N/A,#N/A,FALSE,"단축2";#N/A,#N/A,FALSE,"단축3";#N/A,#N/A,FALSE,"장축";#N/A,#N/A,FALSE,"4WD"}</definedName>
    <definedName name="ldkdkl" localSheetId="0" hidden="1">{#N/A,#N/A,FALSE,"단축1";#N/A,#N/A,FALSE,"단축2";#N/A,#N/A,FALSE,"단축3";#N/A,#N/A,FALSE,"장축";#N/A,#N/A,FALSE,"4WD"}</definedName>
    <definedName name="ldkdkl" hidden="1">{#N/A,#N/A,FALSE,"단축1";#N/A,#N/A,FALSE,"단축2";#N/A,#N/A,FALSE,"단축3";#N/A,#N/A,FALSE,"장축";#N/A,#N/A,FALSE,"4WD"}</definedName>
    <definedName name="LFKGLKJGLKG" localSheetId="0" hidden="1">{#N/A,#N/A,FALSE,"단축1";#N/A,#N/A,FALSE,"단축2";#N/A,#N/A,FALSE,"단축3";#N/A,#N/A,FALSE,"장축";#N/A,#N/A,FALSE,"4WD"}</definedName>
    <definedName name="LFKGLKJGLKG" hidden="1">{#N/A,#N/A,FALSE,"단축1";#N/A,#N/A,FALSE,"단축2";#N/A,#N/A,FALSE,"단축3";#N/A,#N/A,FALSE,"장축";#N/A,#N/A,FALSE,"4WD"}</definedName>
    <definedName name="lglllg" localSheetId="0" hidden="1">{#N/A,#N/A,FALSE,"단축1";#N/A,#N/A,FALSE,"단축2";#N/A,#N/A,FALSE,"단축3";#N/A,#N/A,FALSE,"장축";#N/A,#N/A,FALSE,"4WD"}</definedName>
    <definedName name="lglllg" hidden="1">{#N/A,#N/A,FALSE,"단축1";#N/A,#N/A,FALSE,"단축2";#N/A,#N/A,FALSE,"단축3";#N/A,#N/A,FALSE,"장축";#N/A,#N/A,FALSE,"4WD"}</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NE검토3" localSheetId="0" hidden="1">{#N/A,#N/A,TRUE,"Y생산";#N/A,#N/A,TRUE,"Y판매";#N/A,#N/A,TRUE,"Y총물량";#N/A,#N/A,TRUE,"Y능력";#N/A,#N/A,TRUE,"YKD"}</definedName>
    <definedName name="LINE검토3" hidden="1">{#N/A,#N/A,TRUE,"Y생산";#N/A,#N/A,TRUE,"Y판매";#N/A,#N/A,TRUE,"Y총물량";#N/A,#N/A,TRUE,"Y능력";#N/A,#N/A,TRUE,"YKD"}</definedName>
    <definedName name="LKJ" localSheetId="0" hidden="1">{#N/A,#N/A,FALSE,"을지 (4)";#N/A,#N/A,FALSE,"을지 (5)";#N/A,#N/A,FALSE,"을지 (6)"}</definedName>
    <definedName name="LKJ" hidden="1">{#N/A,#N/A,FALSE,"을지 (4)";#N/A,#N/A,FALSE,"을지 (5)";#N/A,#N/A,FALSE,"을지 (6)"}</definedName>
    <definedName name="LOLD">1</definedName>
    <definedName name="LOLD_Table">22</definedName>
    <definedName name="LP" localSheetId="0" hidden="1">{#N/A,#N/A,FALSE,"단축1";#N/A,#N/A,FALSE,"단축2";#N/A,#N/A,FALSE,"단축3";#N/A,#N/A,FALSE,"장축";#N/A,#N/A,FALSE,"4WD"}</definedName>
    <definedName name="LP" hidden="1">{#N/A,#N/A,FALSE,"단축1";#N/A,#N/A,FALSE,"단축2";#N/A,#N/A,FALSE,"단축3";#N/A,#N/A,FALSE,"장축";#N/A,#N/A,FALSE,"4WD"}</definedName>
    <definedName name="LP능력검토" localSheetId="0" hidden="1">{#N/A,#N/A,FALSE,"단축1";#N/A,#N/A,FALSE,"단축2";#N/A,#N/A,FALSE,"단축3";#N/A,#N/A,FALSE,"장축";#N/A,#N/A,FALSE,"4WD"}</definedName>
    <definedName name="LP능력검토" hidden="1">{#N/A,#N/A,FALSE,"단축1";#N/A,#N/A,FALSE,"단축2";#N/A,#N/A,FALSE,"단축3";#N/A,#N/A,FALSE,"장축";#N/A,#N/A,FALSE,"4WD"}</definedName>
    <definedName name="LP투자비" localSheetId="0" hidden="1">{#N/A,#N/A,FALSE,"단축1";#N/A,#N/A,FALSE,"단축2";#N/A,#N/A,FALSE,"단축3";#N/A,#N/A,FALSE,"장축";#N/A,#N/A,FALSE,"4WD"}</definedName>
    <definedName name="LP투자비" hidden="1">{#N/A,#N/A,FALSE,"단축1";#N/A,#N/A,FALSE,"단축2";#N/A,#N/A,FALSE,"단축3";#N/A,#N/A,FALSE,"장축";#N/A,#N/A,FALSE,"4WD"}</definedName>
    <definedName name="LT" localSheetId="0" hidden="1">{#N/A,#N/A,FALSE,"단축1";#N/A,#N/A,FALSE,"단축2";#N/A,#N/A,FALSE,"단축3";#N/A,#N/A,FALSE,"장축";#N/A,#N/A,FALSE,"4WD"}</definedName>
    <definedName name="LT" hidden="1">{#N/A,#N/A,FALSE,"단축1";#N/A,#N/A,FALSE,"단축2";#N/A,#N/A,FALSE,"단축3";#N/A,#N/A,FALSE,"장축";#N/A,#N/A,FALSE,"4WD"}</definedName>
    <definedName name="M_FSW" localSheetId="0" hidden="1">{#N/A,#N/A,FALSE,"표지";#N/A,#N/A,FALSE,"전제";#N/A,#N/A,FALSE,"대당";#N/A,#N/A,FALSE,"가공비";#N/A,#N/A,FALSE,"재료비";#N/A,#N/A,FALSE,"손익"}</definedName>
    <definedName name="M_FSW" hidden="1">{#N/A,#N/A,FALSE,"표지";#N/A,#N/A,FALSE,"전제";#N/A,#N/A,FALSE,"대당";#N/A,#N/A,FALSE,"가공비";#N/A,#N/A,FALSE,"재료비";#N/A,#N/A,FALSE,"손익"}</definedName>
    <definedName name="MAE" localSheetId="0" hidden="1">{#N/A,#N/A,FALSE,"단축1";#N/A,#N/A,FALSE,"단축2";#N/A,#N/A,FALSE,"단축3";#N/A,#N/A,FALSE,"장축";#N/A,#N/A,FALSE,"4WD"}</definedName>
    <definedName name="MAE" hidden="1">{#N/A,#N/A,FALSE,"단축1";#N/A,#N/A,FALSE,"단축2";#N/A,#N/A,FALSE,"단축3";#N/A,#N/A,FALSE,"장축";#N/A,#N/A,FALSE,"4WD"}</definedName>
    <definedName name="MFSW" localSheetId="0" hidden="1">{#N/A,#N/A,FALSE,"전제";#N/A,#N/A,FALSE,"표지";#N/A,#N/A,FALSE,"6D16";#N/A,#N/A,FALSE,"6D22";#N/A,#N/A,FALSE,"6D22-T";#N/A,#N/A,FALSE,"Q-DEG";#N/A,#N/A,FALSE,"총손";#N/A,#N/A,FALSE,"대당";#N/A,#N/A,FALSE,"가공비"}</definedName>
    <definedName name="MFSW" hidden="1">{#N/A,#N/A,FALSE,"전제";#N/A,#N/A,FALSE,"표지";#N/A,#N/A,FALSE,"6D16";#N/A,#N/A,FALSE,"6D22";#N/A,#N/A,FALSE,"6D22-T";#N/A,#N/A,FALSE,"Q-DEG";#N/A,#N/A,FALSE,"총손";#N/A,#N/A,FALSE,"대당";#N/A,#N/A,FALSE,"가공비"}</definedName>
    <definedName name="mhr" localSheetId="0" hidden="1">{#N/A,#N/A,FALSE,"협조전";#N/A,#N/A,FALSE,"원가절감계획 ";#N/A,#N/A,FALSE,"항목별원가절감계획"}</definedName>
    <definedName name="mhr" hidden="1">{#N/A,#N/A,FALSE,"협조전";#N/A,#N/A,FALSE,"원가절감계획 ";#N/A,#N/A,FALSE,"항목별원가절감계획"}</definedName>
    <definedName name="MH향상" localSheetId="0" hidden="1">{#N/A,#N/A,TRUE,"Y생산";#N/A,#N/A,TRUE,"Y판매";#N/A,#N/A,TRUE,"Y총물량";#N/A,#N/A,TRUE,"Y능력";#N/A,#N/A,TRUE,"YKD"}</definedName>
    <definedName name="MH향상" hidden="1">{#N/A,#N/A,TRUE,"Y생산";#N/A,#N/A,TRUE,"Y판매";#N/A,#N/A,TRUE,"Y총물량";#N/A,#N/A,TRUE,"Y능력";#N/A,#N/A,TRUE,"YKD"}</definedName>
    <definedName name="MIP능력검토" localSheetId="0" hidden="1">{#N/A,#N/A,FALSE,"단축1";#N/A,#N/A,FALSE,"단축2";#N/A,#N/A,FALSE,"단축3";#N/A,#N/A,FALSE,"장축";#N/A,#N/A,FALSE,"4WD"}</definedName>
    <definedName name="MIP능력검토" hidden="1">{#N/A,#N/A,FALSE,"단축1";#N/A,#N/A,FALSE,"단축2";#N/A,#N/A,FALSE,"단축3";#N/A,#N/A,FALSE,"장축";#N/A,#N/A,FALSE,"4WD"}</definedName>
    <definedName name="MIP동시투자" localSheetId="0" hidden="1">{#N/A,#N/A,FALSE,"단축1";#N/A,#N/A,FALSE,"단축2";#N/A,#N/A,FALSE,"단축3";#N/A,#N/A,FALSE,"장축";#N/A,#N/A,FALSE,"4WD"}</definedName>
    <definedName name="MIP동시투자" hidden="1">{#N/A,#N/A,FALSE,"단축1";#N/A,#N/A,FALSE,"단축2";#N/A,#N/A,FALSE,"단축3";#N/A,#N/A,FALSE,"장축";#N/A,#N/A,FALSE,"4WD"}</definedName>
    <definedName name="MMM" localSheetId="0" hidden="1">{#N/A,#N/A,FALSE,"단축1";#N/A,#N/A,FALSE,"단축2";#N/A,#N/A,FALSE,"단축3";#N/A,#N/A,FALSE,"장축";#N/A,#N/A,FALSE,"4WD"}</definedName>
    <definedName name="MMM" hidden="1">{#N/A,#N/A,FALSE,"단축1";#N/A,#N/A,FALSE,"단축2";#N/A,#N/A,FALSE,"단축3";#N/A,#N/A,FALSE,"장축";#N/A,#N/A,FALSE,"4WD"}</definedName>
    <definedName name="mx" localSheetId="0" hidden="1">{#N/A,#N/A,FALSE,"단축1";#N/A,#N/A,FALSE,"단축2";#N/A,#N/A,FALSE,"단축3";#N/A,#N/A,FALSE,"장축";#N/A,#N/A,FALSE,"4WD"}</definedName>
    <definedName name="mx" hidden="1">{#N/A,#N/A,FALSE,"단축1";#N/A,#N/A,FALSE,"단축2";#N/A,#N/A,FALSE,"단축3";#N/A,#N/A,FALSE,"장축";#N/A,#N/A,FALSE,"4WD"}</definedName>
    <definedName name="NAME" localSheetId="0" hidden="1">{#N/A,#N/A,FALSE,"을지 (4)";#N/A,#N/A,FALSE,"을지 (5)";#N/A,#N/A,FALSE,"을지 (6)"}</definedName>
    <definedName name="NAME" hidden="1">{#N/A,#N/A,FALSE,"을지 (4)";#N/A,#N/A,FALSE,"을지 (5)";#N/A,#N/A,FALSE,"을지 (6)"}</definedName>
    <definedName name="NH_TR">#REF!</definedName>
    <definedName name="O" localSheetId="0" hidden="1">{#N/A,#N/A,TRUE,"Y생산";#N/A,#N/A,TRUE,"Y판매";#N/A,#N/A,TRUE,"Y총물량";#N/A,#N/A,TRUE,"Y능력";#N/A,#N/A,TRUE,"YKD"}</definedName>
    <definedName name="O" hidden="1">{#N/A,#N/A,TRUE,"Y생산";#N/A,#N/A,TRUE,"Y판매";#N/A,#N/A,TRUE,"Y총물량";#N/A,#N/A,TRUE,"Y능력";#N/A,#N/A,TRUE,"YKD"}</definedName>
    <definedName name="OOO" localSheetId="0" hidden="1">{#N/A,#N/A,TRUE,"Y생산";#N/A,#N/A,TRUE,"Y판매";#N/A,#N/A,TRUE,"Y총물량";#N/A,#N/A,TRUE,"Y능력";#N/A,#N/A,TRUE,"YKD"}</definedName>
    <definedName name="OOO" hidden="1">{#N/A,#N/A,TRUE,"Y생산";#N/A,#N/A,TRUE,"Y판매";#N/A,#N/A,TRUE,"Y총물량";#N/A,#N/A,TRUE,"Y능력";#N/A,#N/A,TRUE,"YKD"}</definedName>
    <definedName name="OP" localSheetId="0" hidden="1">{#N/A,#N/A,FALSE,"단축1";#N/A,#N/A,FALSE,"단축2";#N/A,#N/A,FALSE,"단축3";#N/A,#N/A,FALSE,"장축";#N/A,#N/A,FALSE,"4WD"}</definedName>
    <definedName name="OP" hidden="1">{#N/A,#N/A,FALSE,"단축1";#N/A,#N/A,FALSE,"단축2";#N/A,#N/A,FALSE,"단축3";#N/A,#N/A,FALSE,"장축";#N/A,#N/A,FALSE,"4WD"}</definedName>
    <definedName name="ox">[7]Parameters!$E$43</definedName>
    <definedName name="P1최종" localSheetId="0" hidden="1">{#N/A,#N/A,FALSE,"단축1";#N/A,#N/A,FALSE,"단축2";#N/A,#N/A,FALSE,"단축3";#N/A,#N/A,FALSE,"장축";#N/A,#N/A,FALSE,"4WD"}</definedName>
    <definedName name="P1최종" hidden="1">{#N/A,#N/A,FALSE,"단축1";#N/A,#N/A,FALSE,"단축2";#N/A,#N/A,FALSE,"단축3";#N/A,#N/A,FALSE,"장축";#N/A,#N/A,FALSE,"4WD"}</definedName>
    <definedName name="P3가공향상" localSheetId="0" hidden="1">{#N/A,#N/A,TRUE,"Y생산";#N/A,#N/A,TRUE,"Y판매";#N/A,#N/A,TRUE,"Y총물량";#N/A,#N/A,TRUE,"Y능력";#N/A,#N/A,TRUE,"YKD"}</definedName>
    <definedName name="P3가공향상" hidden="1">{#N/A,#N/A,TRUE,"Y생산";#N/A,#N/A,TRUE,"Y판매";#N/A,#N/A,TRUE,"Y총물량";#N/A,#N/A,TRUE,"Y능력";#N/A,#N/A,TRUE,"YKD"}</definedName>
    <definedName name="PAGE1">#REF!</definedName>
    <definedName name="PAGE2">#REF!</definedName>
    <definedName name="PAGE3">#REF!</definedName>
    <definedName name="PAGE4" localSheetId="0" hidden="1">{#N/A,#N/A,FALSE,"단축1";#N/A,#N/A,FALSE,"단축2";#N/A,#N/A,FALSE,"단축3";#N/A,#N/A,FALSE,"장축";#N/A,#N/A,FALSE,"4WD"}</definedName>
    <definedName name="PAGE4" hidden="1">{#N/A,#N/A,FALSE,"단축1";#N/A,#N/A,FALSE,"단축2";#N/A,#N/A,FALSE,"단축3";#N/A,#N/A,FALSE,"장축";#N/A,#N/A,FALSE,"4WD"}</definedName>
    <definedName name="PI" localSheetId="0" hidden="1">{#N/A,#N/A,TRUE,"Y생산";#N/A,#N/A,TRUE,"Y판매";#N/A,#N/A,TRUE,"Y총물량";#N/A,#N/A,TRUE,"Y능력";#N/A,#N/A,TRUE,"YKD"}</definedName>
    <definedName name="PI" hidden="1">{#N/A,#N/A,TRUE,"Y생산";#N/A,#N/A,TRUE,"Y판매";#N/A,#N/A,TRUE,"Y총물량";#N/A,#N/A,TRUE,"Y능력";#N/A,#N/A,TRUE,"YKD"}</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 hidden="1">{#N/A,#N/A,FALSE,"단축1";#N/A,#N/A,FALSE,"단축2";#N/A,#N/A,FALSE,"단축3";#N/A,#N/A,FALSE,"장축";#N/A,#N/A,FALSE,"4WD"}</definedName>
    <definedName name="PPP" hidden="1">{#N/A,#N/A,FALSE,"단축1";#N/A,#N/A,FALSE,"단축2";#N/A,#N/A,FALSE,"단축3";#N/A,#N/A,FALSE,"장축";#N/A,#N/A,FALSE,"4WD"}</definedName>
    <definedName name="Print_Title">#N/A</definedName>
    <definedName name="_xlnm.Print_Titles">#REF!</definedName>
    <definedName name="PROCESS">IF([4]Reporting!$E$13=2,INDIRECT("ABS중합"),IF([4]Reporting!$E$13=7,INDIRECT("EPS"),INDIRECT("A"&amp;17+[4]Reporting!$E$13)))</definedName>
    <definedName name="PRTO" localSheetId="0" hidden="1">{#N/A,#N/A,FALSE,"단축1";#N/A,#N/A,FALSE,"단축2";#N/A,#N/A,FALSE,"단축3";#N/A,#N/A,FALSE,"장축";#N/A,#N/A,FALSE,"4WD"}</definedName>
    <definedName name="PRTO" hidden="1">{#N/A,#N/A,FALSE,"단축1";#N/A,#N/A,FALSE,"단축2";#N/A,#N/A,FALSE,"단축3";#N/A,#N/A,FALSE,"장축";#N/A,#N/A,FALSE,"4WD"}</definedName>
    <definedName name="QA" localSheetId="0" hidden="1">{#N/A,#N/A,FALSE,"단축1";#N/A,#N/A,FALSE,"단축2";#N/A,#N/A,FALSE,"단축3";#N/A,#N/A,FALSE,"장축";#N/A,#N/A,FALSE,"4WD"}</definedName>
    <definedName name="QA" hidden="1">{#N/A,#N/A,FALSE,"단축1";#N/A,#N/A,FALSE,"단축2";#N/A,#N/A,FALSE,"단축3";#N/A,#N/A,FALSE,"장축";#N/A,#N/A,FALSE,"4WD"}</definedName>
    <definedName name="QD" localSheetId="0" hidden="1">{#N/A,#N/A,FALSE,"단축1";#N/A,#N/A,FALSE,"단축2";#N/A,#N/A,FALSE,"단축3";#N/A,#N/A,FALSE,"장축";#N/A,#N/A,FALSE,"4WD"}</definedName>
    <definedName name="QD" hidden="1">{#N/A,#N/A,FALSE,"단축1";#N/A,#N/A,FALSE,"단축2";#N/A,#N/A,FALSE,"단축3";#N/A,#N/A,FALSE,"장축";#N/A,#N/A,FALSE,"4WD"}</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ltm" localSheetId="0" hidden="1">{#N/A,#N/A,TRUE,"Y생산";#N/A,#N/A,TRUE,"Y판매";#N/A,#N/A,TRUE,"Y총물량";#N/A,#N/A,TRUE,"Y능력";#N/A,#N/A,TRUE,"YKD"}</definedName>
    <definedName name="qltm" hidden="1">{#N/A,#N/A,TRUE,"Y생산";#N/A,#N/A,TRUE,"Y판매";#N/A,#N/A,TRUE,"Y총물량";#N/A,#N/A,TRUE,"Y능력";#N/A,#N/A,TRUE,"YKD"}</definedName>
    <definedName name="qlty" localSheetId="0" hidden="1">{#N/A,#N/A,TRUE,"Y생산";#N/A,#N/A,TRUE,"Y판매";#N/A,#N/A,TRUE,"Y총물량";#N/A,#N/A,TRUE,"Y능력";#N/A,#N/A,TRUE,"YKD"}</definedName>
    <definedName name="qlty" hidden="1">{#N/A,#N/A,TRUE,"Y생산";#N/A,#N/A,TRUE,"Y판매";#N/A,#N/A,TRUE,"Y총물량";#N/A,#N/A,TRUE,"Y능력";#N/A,#N/A,TRUE,"YKD"}</definedName>
    <definedName name="QNANS2" localSheetId="0" hidden="1">{#N/A,#N/A,FALSE,"단축1";#N/A,#N/A,FALSE,"단축2";#N/A,#N/A,FALSE,"단축3";#N/A,#N/A,FALSE,"장축";#N/A,#N/A,FALSE,"4WD"}</definedName>
    <definedName name="QNANS2" hidden="1">{#N/A,#N/A,FALSE,"단축1";#N/A,#N/A,FALSE,"단축2";#N/A,#N/A,FALSE,"단축3";#N/A,#N/A,FALSE,"장축";#N/A,#N/A,FALSE,"4WD"}</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qq" localSheetId="0" hidden="1">{#N/A,#N/A,TRUE,"Y생산";#N/A,#N/A,TRUE,"Y판매";#N/A,#N/A,TRUE,"Y총물량";#N/A,#N/A,TRUE,"Y능력";#N/A,#N/A,TRUE,"YKD"}</definedName>
    <definedName name="qqqqqqqqq" hidden="1">{#N/A,#N/A,TRUE,"Y생산";#N/A,#N/A,TRUE,"Y판매";#N/A,#N/A,TRUE,"Y총물량";#N/A,#N/A,TRUE,"Y능력";#N/A,#N/A,TRUE,"YKD"}</definedName>
    <definedName name="QS" localSheetId="0" hidden="1">{#N/A,#N/A,FALSE,"단축1";#N/A,#N/A,FALSE,"단축2";#N/A,#N/A,FALSE,"단축3";#N/A,#N/A,FALSE,"장축";#N/A,#N/A,FALSE,"4WD"}</definedName>
    <definedName name="QS" hidden="1">{#N/A,#N/A,FALSE,"단축1";#N/A,#N/A,FALSE,"단축2";#N/A,#N/A,FALSE,"단축3";#N/A,#N/A,FALSE,"장축";#N/A,#N/A,FALSE,"4WD"}</definedName>
    <definedName name="qwe" localSheetId="0" hidden="1">{#N/A,#N/A,FALSE,"단축1";#N/A,#N/A,FALSE,"단축2";#N/A,#N/A,FALSE,"단축3";#N/A,#N/A,FALSE,"장축";#N/A,#N/A,FALSE,"4WD"}</definedName>
    <definedName name="qwe" hidden="1">{#N/A,#N/A,FALSE,"단축1";#N/A,#N/A,FALSE,"단축2";#N/A,#N/A,FALSE,"단축3";#N/A,#N/A,FALSE,"장축";#N/A,#N/A,FALSE,"4WD"}</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TTLE" localSheetId="0" hidden="1">{#N/A,#N/A,FALSE,"단축1";#N/A,#N/A,FALSE,"단축2";#N/A,#N/A,FALSE,"단축3";#N/A,#N/A,FALSE,"장축";#N/A,#N/A,FALSE,"4WD"}</definedName>
    <definedName name="RATTLE"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gional_data">[7]Defaults!$W$8:$AH$26</definedName>
    <definedName name="RESISTOR" localSheetId="0" hidden="1">{#N/A,#N/A,FALSE,"단축1";#N/A,#N/A,FALSE,"단축2";#N/A,#N/A,FALSE,"단축3";#N/A,#N/A,FALSE,"장축";#N/A,#N/A,FALSE,"4WD"}</definedName>
    <definedName name="RESISTOR" hidden="1">{#N/A,#N/A,FALSE,"단축1";#N/A,#N/A,FALSE,"단축2";#N/A,#N/A,FALSE,"단축3";#N/A,#N/A,FALSE,"장축";#N/A,#N/A,FALSE,"4WD"}</definedName>
    <definedName name="rkd" localSheetId="0" hidden="1">{#N/A,#N/A,FALSE,"단축1";#N/A,#N/A,FALSE,"단축2";#N/A,#N/A,FALSE,"단축3";#N/A,#N/A,FALSE,"장축";#N/A,#N/A,FALSE,"4WD"}</definedName>
    <definedName name="rkd" hidden="1">{#N/A,#N/A,FALSE,"단축1";#N/A,#N/A,FALSE,"단축2";#N/A,#N/A,FALSE,"단축3";#N/A,#N/A,FALSE,"장축";#N/A,#N/A,FALSE,"4WD"}</definedName>
    <definedName name="rkrkr">#REF!</definedName>
    <definedName name="rkrkrk" localSheetId="0" hidden="1">{#N/A,#N/A,FALSE,"신규dep";#N/A,#N/A,FALSE,"신규dep-금형상각후";#N/A,#N/A,FALSE,"신규dep-연구비상각후";#N/A,#N/A,FALSE,"신규dep-기계,공구상각후"}</definedName>
    <definedName name="rkrkrk" hidden="1">{#N/A,#N/A,FALSE,"신규dep";#N/A,#N/A,FALSE,"신규dep-금형상각후";#N/A,#N/A,FALSE,"신규dep-연구비상각후";#N/A,#N/A,FALSE,"신규dep-기계,공구상각후"}</definedName>
    <definedName name="RLA" localSheetId="0" hidden="1">{#N/A,#N/A,TRUE,"Y생산";#N/A,#N/A,TRUE,"Y판매";#N/A,#N/A,TRUE,"Y총물량";#N/A,#N/A,TRUE,"Y능력";#N/A,#N/A,TRUE,"YKD"}</definedName>
    <definedName name="RLA" hidden="1">{#N/A,#N/A,TRUE,"Y생산";#N/A,#N/A,TRUE,"Y판매";#N/A,#N/A,TRUE,"Y총물량";#N/A,#N/A,TRUE,"Y능력";#N/A,#N/A,TRUE,"YKD"}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RR" localSheetId="0" hidden="1">{#N/A,#N/A,FALSE,"단축1";#N/A,#N/A,FALSE,"단축2";#N/A,#N/A,FALSE,"단축3";#N/A,#N/A,FALSE,"장축";#N/A,#N/A,FALSE,"4WD"}</definedName>
    <definedName name="RRRR" hidden="1">{#N/A,#N/A,FALSE,"단축1";#N/A,#N/A,FALSE,"단축2";#N/A,#N/A,FALSE,"단축3";#N/A,#N/A,FALSE,"장축";#N/A,#N/A,FALSE,"4WD"}</definedName>
    <definedName name="RRT" localSheetId="0" hidden="1">{#N/A,#N/A,FALSE,"표지";#N/A,#N/A,FALSE,"전제";#N/A,#N/A,FALSE,"손익-자 (2)";#N/A,#N/A,FALSE,"손익-자";#N/A,#N/A,FALSE,"손익-마 (2)";#N/A,#N/A,FALSE,"손익-마";#N/A,#N/A,FALSE,"총손최종"}</definedName>
    <definedName name="RRT" hidden="1">{#N/A,#N/A,FALSE,"표지";#N/A,#N/A,FALSE,"전제";#N/A,#N/A,FALSE,"손익-자 (2)";#N/A,#N/A,FALSE,"손익-자";#N/A,#N/A,FALSE,"손익-마 (2)";#N/A,#N/A,FALSE,"손익-마";#N/A,#N/A,FALSE,"총손최종"}</definedName>
    <definedName name="ryet" localSheetId="0" hidden="1">{#N/A,#N/A,FALSE,"단축1";#N/A,#N/A,FALSE,"단축2";#N/A,#N/A,FALSE,"단축3";#N/A,#N/A,FALSE,"장축";#N/A,#N/A,FALSE,"4WD"}</definedName>
    <definedName name="ryet" hidden="1">{#N/A,#N/A,FALSE,"단축1";#N/A,#N/A,FALSE,"단축2";#N/A,#N/A,FALSE,"단축3";#N/A,#N/A,FALSE,"장축";#N/A,#N/A,FALSE,"4WD"}</definedName>
    <definedName name="RYTWY" localSheetId="0" hidden="1">{#N/A,#N/A,FALSE,"단축1";#N/A,#N/A,FALSE,"단축2";#N/A,#N/A,FALSE,"단축3";#N/A,#N/A,FALSE,"장축";#N/A,#N/A,FALSE,"4WD"}</definedName>
    <definedName name="RYTWY" hidden="1">{#N/A,#N/A,FALSE,"단축1";#N/A,#N/A,FALSE,"단축2";#N/A,#N/A,FALSE,"단축3";#N/A,#N/A,FALSE,"장축";#N/A,#N/A,FALSE,"4WD"}</definedName>
    <definedName name="SA">#REF!</definedName>
    <definedName name="sadd" localSheetId="0" hidden="1">{#N/A,#N/A,FALSE,"품의서";#N/A,#N/A,FALSE,"전제";#N/A,#N/A,FALSE,"총손";#N/A,#N/A,FALSE,"손익"}</definedName>
    <definedName name="sadd" hidden="1">{#N/A,#N/A,FALSE,"품의서";#N/A,#N/A,FALSE,"전제";#N/A,#N/A,FALSE,"총손";#N/A,#N/A,FALSE,"손익"}</definedName>
    <definedName name="SAF" localSheetId="0" hidden="1">{#N/A,#N/A,FALSE,"표지";#N/A,#N/A,FALSE,"을지1";#N/A,#N/A,FALSE,"일정1";#N/A,#N/A,FALSE,"일정2";#N/A,#N/A,FALSE,"11T-C";#N/A,#N/A,FALSE,"15T-D";#N/A,#N/A,FALSE,"판매현황";#N/A,#N/A,FALSE,"업무 FLOW"}</definedName>
    <definedName name="SAF" hidden="1">{#N/A,#N/A,FALSE,"표지";#N/A,#N/A,FALSE,"을지1";#N/A,#N/A,FALSE,"일정1";#N/A,#N/A,FALSE,"일정2";#N/A,#N/A,FALSE,"11T-C";#N/A,#N/A,FALSE,"15T-D";#N/A,#N/A,FALSE,"판매현황";#N/A,#N/A,FALSE,"업무 FLOW"}</definedName>
    <definedName name="SAPBEXhrIndnt" hidden="1">"Wide"</definedName>
    <definedName name="SAPBEXrevision" hidden="1">1</definedName>
    <definedName name="SAPBEXsysID" hidden="1">"BWP"</definedName>
    <definedName name="SAPBEXwbID" hidden="1">"417K8AVZZ0J3G8LKHTIBCL23C"</definedName>
    <definedName name="SAPsysID" hidden="1">"708C5W7SBKP804JT78WJ0JNKI"</definedName>
    <definedName name="SAPwbID" hidden="1">"ARS"</definedName>
    <definedName name="sayang" localSheetId="0" hidden="1">{#N/A,#N/A,FALSE,"단축1";#N/A,#N/A,FALSE,"단축2";#N/A,#N/A,FALSE,"단축3";#N/A,#N/A,FALSE,"장축";#N/A,#N/A,FALSE,"4WD"}</definedName>
    <definedName name="sayang" hidden="1">{#N/A,#N/A,FALSE,"단축1";#N/A,#N/A,FALSE,"단축2";#N/A,#N/A,FALSE,"단축3";#N/A,#N/A,FALSE,"장축";#N/A,#N/A,FALSE,"4WD"}</definedName>
    <definedName name="SA공수" localSheetId="0" hidden="1">{#N/A,#N/A,FALSE,"단축1";#N/A,#N/A,FALSE,"단축2";#N/A,#N/A,FALSE,"단축3";#N/A,#N/A,FALSE,"장축";#N/A,#N/A,FALSE,"4WD"}</definedName>
    <definedName name="SA공수" hidden="1">{#N/A,#N/A,FALSE,"단축1";#N/A,#N/A,FALSE,"단축2";#N/A,#N/A,FALSE,"단축3";#N/A,#N/A,FALSE,"장축";#N/A,#N/A,FALSE,"4WD"}</definedName>
    <definedName name="SD" localSheetId="0" hidden="1">{#N/A,#N/A,FALSE,"단축1";#N/A,#N/A,FALSE,"단축2";#N/A,#N/A,FALSE,"단축3";#N/A,#N/A,FALSE,"장축";#N/A,#N/A,FALSE,"4WD"}</definedName>
    <definedName name="SD" hidden="1">{#N/A,#N/A,FALSE,"단축1";#N/A,#N/A,FALSE,"단축2";#N/A,#N/A,FALSE,"단축3";#N/A,#N/A,FALSE,"장축";#N/A,#N/A,FALSE,"4WD"}</definedName>
    <definedName name="sdf" localSheetId="0" hidden="1">{#N/A,#N/A,FALSE,"단축1";#N/A,#N/A,FALSE,"단축2";#N/A,#N/A,FALSE,"단축3";#N/A,#N/A,FALSE,"장축";#N/A,#N/A,FALSE,"4WD"}</definedName>
    <definedName name="sdf" hidden="1">{#N/A,#N/A,FALSE,"단축1";#N/A,#N/A,FALSE,"단축2";#N/A,#N/A,FALSE,"단축3";#N/A,#N/A,FALSE,"장축";#N/A,#N/A,FALSE,"4WD"}</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K" localSheetId="0" hidden="1">{#N/A,#N/A,FALSE,"단축1";#N/A,#N/A,FALSE,"단축2";#N/A,#N/A,FALSE,"단축3";#N/A,#N/A,FALSE,"장축";#N/A,#N/A,FALSE,"4WD"}</definedName>
    <definedName name="SDK" hidden="1">{#N/A,#N/A,FALSE,"단축1";#N/A,#N/A,FALSE,"단축2";#N/A,#N/A,FALSE,"단축3";#N/A,#N/A,FALSE,"장축";#N/A,#N/A,FALSE,"4WD"}</definedName>
    <definedName name="SDSD" localSheetId="0" hidden="1">{#N/A,#N/A,FALSE,"단축1";#N/A,#N/A,FALSE,"단축2";#N/A,#N/A,FALSE,"단축3";#N/A,#N/A,FALSE,"장축";#N/A,#N/A,FALSE,"4WD"}</definedName>
    <definedName name="SDSD" hidden="1">{#N/A,#N/A,FALSE,"단축1";#N/A,#N/A,FALSE,"단축2";#N/A,#N/A,FALSE,"단축3";#N/A,#N/A,FALSE,"장축";#N/A,#N/A,FALSE,"4WD"}</definedName>
    <definedName name="Select2">[7]Defaults!$O$20</definedName>
    <definedName name="Select3">[7]Defaults!$W$5</definedName>
    <definedName name="selected">[7]Defaults!$G$17</definedName>
    <definedName name="SG">#REF!</definedName>
    <definedName name="SGrp">#REF!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i" localSheetId="0" hidden="1">{#N/A,#N/A,FALSE,"단축1";#N/A,#N/A,FALSE,"단축2";#N/A,#N/A,FALSE,"단축3";#N/A,#N/A,FALSE,"장축";#N/A,#N/A,FALSE,"4WD"}</definedName>
    <definedName name="shi" hidden="1">{#N/A,#N/A,FALSE,"단축1";#N/A,#N/A,FALSE,"단축2";#N/A,#N/A,FALSE,"단축3";#N/A,#N/A,FALSE,"장축";#N/A,#N/A,FALSE,"4WD"}</definedName>
    <definedName name="shin" localSheetId="0" hidden="1">{#N/A,#N/A,FALSE,"단축1";#N/A,#N/A,FALSE,"단축2";#N/A,#N/A,FALSE,"단축3";#N/A,#N/A,FALSE,"장축";#N/A,#N/A,FALSE,"4WD"}</definedName>
    <definedName name="shin" hidden="1">{#N/A,#N/A,FALSE,"단축1";#N/A,#N/A,FALSE,"단축2";#N/A,#N/A,FALSE,"단축3";#N/A,#N/A,FALSE,"장축";#N/A,#N/A,FALSE,"4WD"}</definedName>
    <definedName name="sjjf" localSheetId="0" hidden="1">{#N/A,#N/A,FALSE,"단축1";#N/A,#N/A,FALSE,"단축2";#N/A,#N/A,FALSE,"단축3";#N/A,#N/A,FALSE,"장축";#N/A,#N/A,FALSE,"4WD"}</definedName>
    <definedName name="sjjf" hidden="1">{#N/A,#N/A,FALSE,"단축1";#N/A,#N/A,FALSE,"단축2";#N/A,#N/A,FALSE,"단축3";#N/A,#N/A,FALSE,"장축";#N/A,#N/A,FALSE,"4WD"}</definedName>
    <definedName name="sjk" localSheetId="0" hidden="1">{#N/A,#N/A,FALSE,"단축1";#N/A,#N/A,FALSE,"단축2";#N/A,#N/A,FALSE,"단축3";#N/A,#N/A,FALSE,"장축";#N/A,#N/A,FALSE,"4WD"}</definedName>
    <definedName name="sjk" hidden="1">{#N/A,#N/A,FALSE,"단축1";#N/A,#N/A,FALSE,"단축2";#N/A,#N/A,FALSE,"단축3";#N/A,#N/A,FALSE,"장축";#N/A,#N/A,FALSE,"4WD"}</definedName>
    <definedName name="SOff">#REF!</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rg">#REF!</definedName>
    <definedName name="STH" localSheetId="0" hidden="1">{#N/A,#N/A,FALSE,"단축1";#N/A,#N/A,FALSE,"단축2";#N/A,#N/A,FALSE,"단축3";#N/A,#N/A,FALSE,"장축";#N/A,#N/A,FALSE,"4WD"}</definedName>
    <definedName name="STH" hidden="1">{#N/A,#N/A,FALSE,"단축1";#N/A,#N/A,FALSE,"단축2";#N/A,#N/A,FALSE,"단축3";#N/A,#N/A,FALSE,"장축";#N/A,#N/A,FALSE,"4WD"}</definedName>
    <definedName name="SWF" localSheetId="0" hidden="1">{#N/A,#N/A,FALSE,"단축1";#N/A,#N/A,FALSE,"단축2";#N/A,#N/A,FALSE,"단축3";#N/A,#N/A,FALSE,"장축";#N/A,#N/A,FALSE,"4WD"}</definedName>
    <definedName name="SWF" hidden="1">{#N/A,#N/A,FALSE,"단축1";#N/A,#N/A,FALSE,"단축2";#N/A,#N/A,FALSE,"단축3";#N/A,#N/A,FALSE,"장축";#N/A,#N/A,FALSE,"4WD"}</definedName>
    <definedName name="t8d" localSheetId="0" hidden="1">{#N/A,#N/A,FALSE,"단축1";#N/A,#N/A,FALSE,"단축2";#N/A,#N/A,FALSE,"단축3";#N/A,#N/A,FALSE,"장축";#N/A,#N/A,FALSE,"4WD"}</definedName>
    <definedName name="t8d" hidden="1">{#N/A,#N/A,FALSE,"단축1";#N/A,#N/A,FALSE,"단축2";#N/A,#N/A,FALSE,"단축3";#N/A,#N/A,FALSE,"장축";#N/A,#N/A,FALSE,"4WD"}</definedName>
    <definedName name="tc" localSheetId="0" hidden="1">{#N/A,#N/A,FALSE,"단축1";#N/A,#N/A,FALSE,"단축2";#N/A,#N/A,FALSE,"단축3";#N/A,#N/A,FALSE,"장축";#N/A,#N/A,FALSE,"4WD"}</definedName>
    <definedName name="tc" hidden="1">{#N/A,#N/A,FALSE,"단축1";#N/A,#N/A,FALSE,"단축2";#N/A,#N/A,FALSE,"단축3";#N/A,#N/A,FALSE,"장축";#N/A,#N/A,FALSE,"4WD"}</definedName>
    <definedName name="tci" localSheetId="0" hidden="1">{#N/A,#N/A,FALSE,"단축1";#N/A,#N/A,FALSE,"단축2";#N/A,#N/A,FALSE,"단축3";#N/A,#N/A,FALSE,"장축";#N/A,#N/A,FALSE,"4WD"}</definedName>
    <definedName name="tci" hidden="1">{#N/A,#N/A,FALSE,"단축1";#N/A,#N/A,FALSE,"단축2";#N/A,#N/A,FALSE,"단축3";#N/A,#N/A,FALSE,"장축";#N/A,#N/A,FALSE,"4WD"}</definedName>
    <definedName name="test" localSheetId="0" hidden="1">{#N/A,#N/A,FALSE,"단축1";#N/A,#N/A,FALSE,"단축2";#N/A,#N/A,FALSE,"단축3";#N/A,#N/A,FALSE,"장축";#N/A,#N/A,FALSE,"4WD"}</definedName>
    <definedName name="test" hidden="1">{#N/A,#N/A,FALSE,"단축1";#N/A,#N/A,FALSE,"단축2";#N/A,#N/A,FALSE,"단축3";#N/A,#N/A,FALSE,"장축";#N/A,#N/A,FALSE,"4WD"}</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e" localSheetId="0" hidden="1">{#N/A,#N/A,FALSE,"신규dep";#N/A,#N/A,FALSE,"신규dep-금형상각후";#N/A,#N/A,FALSE,"신규dep-연구비상각후";#N/A,#N/A,FALSE,"신규dep-기계,공구상각후"}</definedName>
    <definedName name="tete" hidden="1">{#N/A,#N/A,FALSE,"신규dep";#N/A,#N/A,FALSE,"신규dep-금형상각후";#N/A,#N/A,FALSE,"신규dep-연구비상각후";#N/A,#N/A,FALSE,"신규dep-기계,공구상각후"}</definedName>
    <definedName name="tetet" localSheetId="0" hidden="1">{#N/A,#N/A,FALSE,"표지";#N/A,#N/A,FALSE,"전제";#N/A,#N/A,FALSE,"손익-자 (2)";#N/A,#N/A,FALSE,"손익-자";#N/A,#N/A,FALSE,"손익-마 (2)";#N/A,#N/A,FALSE,"손익-마";#N/A,#N/A,FALSE,"총손최종"}</definedName>
    <definedName name="tetet" hidden="1">{#N/A,#N/A,FALSE,"표지";#N/A,#N/A,FALSE,"전제";#N/A,#N/A,FALSE,"손익-자 (2)";#N/A,#N/A,FALSE,"손익-자";#N/A,#N/A,FALSE,"손익-마 (2)";#N/A,#N/A,FALSE,"손익-마";#N/A,#N/A,FALSE,"총손최종"}</definedName>
    <definedName name="tetete" localSheetId="0" hidden="1">{#N/A,#N/A,FALSE,"품의서";#N/A,#N/A,FALSE,"전제";#N/A,#N/A,FALSE,"총손";#N/A,#N/A,FALSE,"손익"}</definedName>
    <definedName name="tetete" hidden="1">{#N/A,#N/A,FALSE,"품의서";#N/A,#N/A,FALSE,"전제";#N/A,#N/A,FALSE,"총손";#N/A,#N/A,FALSE,"손익"}</definedName>
    <definedName name="TEWR" localSheetId="0" hidden="1">{#N/A,#N/A,TRUE,"Y생산";#N/A,#N/A,TRUE,"Y판매";#N/A,#N/A,TRUE,"Y총물량";#N/A,#N/A,TRUE,"Y능력";#N/A,#N/A,TRUE,"YKD"}</definedName>
    <definedName name="TEWR" hidden="1">{#N/A,#N/A,TRUE,"Y생산";#N/A,#N/A,TRUE,"Y판매";#N/A,#N/A,TRUE,"Y총물량";#N/A,#N/A,TRUE,"Y능력";#N/A,#N/A,TRUE,"YKD"}</definedName>
    <definedName name="THEME2" localSheetId="0" hidden="1">{#N/A,#N/A,FALSE,"96 3월물량표";#N/A,#N/A,FALSE,"96 4월물량표";#N/A,#N/A,FALSE,"96 5월물량표"}</definedName>
    <definedName name="THEME2" hidden="1">{#N/A,#N/A,FALSE,"96 3월물량표";#N/A,#N/A,FALSE,"96 4월물량표";#N/A,#N/A,FALSE,"96 5월물량표"}</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o">#REF!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{#N/A,#N/A,FALSE,"단축1";#N/A,#N/A,FALSE,"단축2";#N/A,#N/A,FALSE,"단축3";#N/A,#N/A,FALSE,"장축";#N/A,#N/A,FALSE,"4WD"}</definedName>
    <definedName name="TT" hidden="1">{#N/A,#N/A,FALSE,"단축1";#N/A,#N/A,FALSE,"단축2";#N/A,#N/A,FALSE,"단축3";#N/A,#N/A,FALSE,"장축";#N/A,#N/A,FALSE,"4WD"}</definedName>
    <definedName name="TTT" localSheetId="0" hidden="1">{#N/A,#N/A,FALSE,"단축1";#N/A,#N/A,FALSE,"단축2";#N/A,#N/A,FALSE,"단축3";#N/A,#N/A,FALSE,"장축";#N/A,#N/A,FALSE,"4WD"}</definedName>
    <definedName name="TTT" hidden="1">{#N/A,#N/A,FALSE,"단축1";#N/A,#N/A,FALSE,"단축2";#N/A,#N/A,FALSE,"단축3";#N/A,#N/A,FALSE,"장축";#N/A,#N/A,FALSE,"4WD"}</definedName>
    <definedName name="TTTT" localSheetId="0" hidden="1">{#N/A,#N/A,FALSE,"단축1";#N/A,#N/A,FALSE,"단축2";#N/A,#N/A,FALSE,"단축3";#N/A,#N/A,FALSE,"장축";#N/A,#N/A,FALSE,"4WD"}</definedName>
    <definedName name="TTTT" hidden="1">{#N/A,#N/A,FALSE,"단축1";#N/A,#N/A,FALSE,"단축2";#N/A,#N/A,FALSE,"단축3";#N/A,#N/A,FALSE,"장축";#N/A,#N/A,FALSE,"4WD"}</definedName>
    <definedName name="TYJTJTDYJTDJ" localSheetId="0" hidden="1">{#N/A,#N/A,FALSE,"표지";#N/A,#N/A,FALSE,"전제";#N/A,#N/A,FALSE,"손익-자 (2)";#N/A,#N/A,FALSE,"손익-자";#N/A,#N/A,FALSE,"손익-마 (2)";#N/A,#N/A,FALSE,"손익-마";#N/A,#N/A,FALSE,"총손최종"}</definedName>
    <definedName name="TYJTJTDYJTDJ" hidden="1">{#N/A,#N/A,FALSE,"표지";#N/A,#N/A,FALSE,"전제";#N/A,#N/A,FALSE,"손익-자 (2)";#N/A,#N/A,FALSE,"손익-자";#N/A,#N/A,FALSE,"손익-마 (2)";#N/A,#N/A,FALSE,"손익-마";#N/A,#N/A,FALSE,"총손최종"}</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102C16" hidden="1">[11]Steam!$P$102:$P$103</definedName>
    <definedName name="UNIFORMANCES2R105C10" hidden="1">[11]Steam!$J$105</definedName>
    <definedName name="UNIFORMANCES2R105C8" hidden="1">[11]Steam!$H$105</definedName>
    <definedName name="UNIFORMANCES2R106C10" hidden="1">[11]Steam!$J$106</definedName>
    <definedName name="UNIFORMANCES2R106C8" hidden="1">[11]Steam!$H$106</definedName>
    <definedName name="UNIFORMANCES2R107C10" hidden="1">[11]Steam!$J$107</definedName>
    <definedName name="UNIFORMANCES2R107C8" hidden="1">[11]Steam!$H$107</definedName>
    <definedName name="UNIFORMANCES2R108C10" hidden="1">[11]Steam!$J$108</definedName>
    <definedName name="UNIFORMANCES2R108C8" hidden="1">[11]Steam!$H$108</definedName>
    <definedName name="UNIFORMANCES2R109C10" hidden="1">[11]Steam!$J$109</definedName>
    <definedName name="UNIFORMANCES2R109C8" hidden="1">[11]Steam!$H$109</definedName>
    <definedName name="UNIFORMANCES2R10C10" hidden="1">[11]Steam!$J$10</definedName>
    <definedName name="UNIFORMANCES2R10C8" hidden="1">[11]Steam!$H$10</definedName>
    <definedName name="UNIFORMANCES2R110C10" hidden="1">[11]Steam!$J$110</definedName>
    <definedName name="UNIFORMANCES2R110C8" hidden="1">[11]Steam!$H$110</definedName>
    <definedName name="UNIFORMANCES2R111C10" hidden="1">[11]Steam!$J$111</definedName>
    <definedName name="UNIFORMANCES2R111C8" hidden="1">[11]Steam!$H$111</definedName>
    <definedName name="UNIFORMANCES2R112C10" hidden="1">[11]Steam!$J$112</definedName>
    <definedName name="UNIFORMANCES2R112C8" hidden="1">[11]Steam!$H$112</definedName>
    <definedName name="UNIFORMANCES2R113C10" hidden="1">[11]Steam!$J$113</definedName>
    <definedName name="UNIFORMANCES2R113C8" hidden="1">[11]Steam!$H$113</definedName>
    <definedName name="UNIFORMANCES2R114C10" hidden="1">[11]Steam!$J$114</definedName>
    <definedName name="UNIFORMANCES2R114C8" hidden="1">[11]Steam!$H$114</definedName>
    <definedName name="UNIFORMANCES2R115C10" hidden="1">[11]Steam!$J$115</definedName>
    <definedName name="UNIFORMANCES2R115C8" hidden="1">[11]Steam!$H$115</definedName>
    <definedName name="UNIFORMANCES2R116C10" hidden="1">[11]Steam!$J$116</definedName>
    <definedName name="UNIFORMANCES2R116C8" hidden="1">[11]Steam!$H$116</definedName>
    <definedName name="UNIFORMANCES2R117C10" hidden="1">[11]Steam!$J$117</definedName>
    <definedName name="UNIFORMANCES2R117C8" hidden="1">[11]Steam!$H$117</definedName>
    <definedName name="UNIFORMANCES2R118C10" hidden="1">[11]Steam!$J$118</definedName>
    <definedName name="UNIFORMANCES2R118C8" hidden="1">[11]Steam!$H$118</definedName>
    <definedName name="UNIFORMANCES2R119C10" hidden="1">[11]Steam!$J$119</definedName>
    <definedName name="UNIFORMANCES2R11C10" hidden="1">[11]Steam!$J$11</definedName>
    <definedName name="UNIFORMANCES2R11C8" hidden="1">[11]Steam!$H$11</definedName>
    <definedName name="UNIFORMANCES2R120C10" hidden="1">[11]Steam!$J$120</definedName>
    <definedName name="UNIFORMANCES2R121C10" hidden="1">[11]Steam!$J$121</definedName>
    <definedName name="UNIFORMANCES2R122C10" hidden="1">[11]Steam!$J$122</definedName>
    <definedName name="UNIFORMANCES2R123C10" hidden="1">[11]Steam!$J$123</definedName>
    <definedName name="UNIFORMANCES2R124C10" hidden="1">[11]Steam!$J$124</definedName>
    <definedName name="UNIFORMANCES2R125C10" hidden="1">[11]Steam!$J$125</definedName>
    <definedName name="UNIFORMANCES2R125C8" hidden="1">[11]Steam!$H$125</definedName>
    <definedName name="UNIFORMANCES2R127C10" hidden="1">[11]Steam!$J$127</definedName>
    <definedName name="UNIFORMANCES2R127C8" hidden="1">[11]Steam!$H$127</definedName>
    <definedName name="UNIFORMANCES2R128C10" hidden="1">[11]Steam!$J$128</definedName>
    <definedName name="UNIFORMANCES2R128C8" hidden="1">[11]Steam!$H$128</definedName>
    <definedName name="UNIFORMANCES2R129C10" hidden="1">[11]Steam!$J$129</definedName>
    <definedName name="UNIFORMANCES2R129C8" hidden="1">[11]Steam!$H$129</definedName>
    <definedName name="UNIFORMANCES2R130C10" hidden="1">[11]Steam!$J$130</definedName>
    <definedName name="UNIFORMANCES2R130C8" hidden="1">[11]Steam!$H$130</definedName>
    <definedName name="UNIFORMANCES2R131C10" hidden="1">[11]Steam!$J$131</definedName>
    <definedName name="UNIFORMANCES2R131C8" hidden="1">[11]Steam!$H$131</definedName>
    <definedName name="UNIFORMANCES2R132C10" hidden="1">[11]Steam!$J$132</definedName>
    <definedName name="UNIFORMANCES2R132C8" hidden="1">[11]Steam!$H$132</definedName>
    <definedName name="UNIFORMANCES2R133C10" hidden="1">[11]Steam!$J$133</definedName>
    <definedName name="UNIFORMANCES2R133C8" hidden="1">[11]Steam!$H$133</definedName>
    <definedName name="UNIFORMANCES2R134C10" hidden="1">[11]Steam!$J$134</definedName>
    <definedName name="UNIFORMANCES2R134C8" hidden="1">[11]Steam!$H$134</definedName>
    <definedName name="UNIFORMANCES2R135C10" hidden="1">[11]Steam!$J$135</definedName>
    <definedName name="UNIFORMANCES2R135C8" hidden="1">[11]Steam!$H$135</definedName>
    <definedName name="UNIFORMANCES2R136C10" hidden="1">[11]Steam!$J$136</definedName>
    <definedName name="UNIFORMANCES2R136C8" hidden="1">[11]Steam!$H$136</definedName>
    <definedName name="UNIFORMANCES2R137C10" hidden="1">[11]Steam!$J$137</definedName>
    <definedName name="UNIFORMANCES2R137C8" hidden="1">[11]Steam!$H$137</definedName>
    <definedName name="UNIFORMANCES2R138C10" hidden="1">[11]Steam!$J$138</definedName>
    <definedName name="UNIFORMANCES2R138C8" hidden="1">[11]Steam!$H$138</definedName>
    <definedName name="UNIFORMANCES2R139C10" hidden="1">[11]Steam!$J$139</definedName>
    <definedName name="UNIFORMANCES2R139C8" hidden="1">[11]Steam!$H$139</definedName>
    <definedName name="UNIFORMANCES2R13C10" hidden="1">[11]Steam!$J$13</definedName>
    <definedName name="UNIFORMANCES2R140C10" hidden="1">[11]Steam!$J$140</definedName>
    <definedName name="UNIFORMANCES2R140C8" hidden="1">[11]Steam!$H$140</definedName>
    <definedName name="UNIFORMANCES2R141C10" hidden="1">[11]Steam!$J$141</definedName>
    <definedName name="UNIFORMANCES2R141C8" hidden="1">[11]Steam!$H$141</definedName>
    <definedName name="UNIFORMANCES2R15C10" hidden="1">[11]Steam!$J$15</definedName>
    <definedName name="UNIFORMANCES2R15C8" hidden="1">[11]Steam!$H$15</definedName>
    <definedName name="UNIFORMANCES2R16C10" hidden="1">[11]Steam!$J$16</definedName>
    <definedName name="UNIFORMANCES2R16C8" hidden="1">[11]Steam!$H$16</definedName>
    <definedName name="UNIFORMANCES2R17C10" hidden="1">[11]Steam!$J$17</definedName>
    <definedName name="UNIFORMANCES2R19C10" hidden="1">[11]Steam!$J$19</definedName>
    <definedName name="UNIFORMANCES2R19C8" hidden="1">[11]Steam!$H$19</definedName>
    <definedName name="UNIFORMANCES2R20C10" hidden="1">[11]Steam!$J$20</definedName>
    <definedName name="UNIFORMANCES2R20C8" hidden="1">[11]Steam!$H$20</definedName>
    <definedName name="UNIFORMANCES2R21C10" hidden="1">[11]Steam!$J$21</definedName>
    <definedName name="UNIFORMANCES2R21C8" hidden="1">[11]Steam!$H$21</definedName>
    <definedName name="UNIFORMANCES2R22C10" hidden="1">[11]Steam!$J$22</definedName>
    <definedName name="UNIFORMANCES2R22C8" hidden="1">[11]Steam!$H$22</definedName>
    <definedName name="UNIFORMANCES2R23C10" hidden="1">[11]Steam!$J$23</definedName>
    <definedName name="UNIFORMANCES2R23C8" hidden="1">[11]Steam!$H$23</definedName>
    <definedName name="UNIFORMANCES2R24C10" hidden="1">[11]Steam!$J$24</definedName>
    <definedName name="UNIFORMANCES2R24C5" hidden="1">[11]Steam!$E$24</definedName>
    <definedName name="UNIFORMANCES2R24C8" hidden="1">[11]Steam!$H$24</definedName>
    <definedName name="UNIFORMANCES2R25C10" hidden="1">[11]Steam!$J$25</definedName>
    <definedName name="UNIFORMANCES2R25C8" hidden="1">[11]Steam!$H$25</definedName>
    <definedName name="UNIFORMANCES2R27C10" hidden="1">[11]Steam!$J$27</definedName>
    <definedName name="UNIFORMANCES2R27C8" hidden="1">[11]Steam!$H$27</definedName>
    <definedName name="UNIFORMANCES2R28C10" hidden="1">[11]Steam!$J$28</definedName>
    <definedName name="UNIFORMANCES2R28C8" hidden="1">[11]Steam!$H$28</definedName>
    <definedName name="UNIFORMANCES2R29C10" hidden="1">[11]Steam!$J$29</definedName>
    <definedName name="UNIFORMANCES2R29C8" hidden="1">[11]Steam!$H$29</definedName>
    <definedName name="UNIFORMANCES2R30C10" hidden="1">[11]Steam!$J$30</definedName>
    <definedName name="UNIFORMANCES2R30C8" hidden="1">[11]Steam!$H$30</definedName>
    <definedName name="UNIFORMANCES2R31C10" hidden="1">[11]Steam!$J$31</definedName>
    <definedName name="UNIFORMANCES2R31C8" hidden="1">[11]Steam!$H$31</definedName>
    <definedName name="UNIFORMANCES2R32C10" hidden="1">[11]Steam!$J$32</definedName>
    <definedName name="UNIFORMANCES2R32C8" hidden="1">[11]Steam!$H$32</definedName>
    <definedName name="UNIFORMANCES2R33C10" hidden="1">[11]Steam!$J$33</definedName>
    <definedName name="UNIFORMANCES2R33C8" hidden="1">[11]Steam!$H$33</definedName>
    <definedName name="UNIFORMANCES2R34C10" hidden="1">[11]Steam!$J$34</definedName>
    <definedName name="UNIFORMANCES2R34C8" hidden="1">[11]Steam!$H$34</definedName>
    <definedName name="UNIFORMANCES2R35C10" hidden="1">[11]Steam!$J$35</definedName>
    <definedName name="UNIFORMANCES2R35C8" hidden="1">[11]Steam!$H$35</definedName>
    <definedName name="UNIFORMANCES2R37C10" hidden="1">[11]Steam!$J$37</definedName>
    <definedName name="UNIFORMANCES2R37C8" hidden="1">[11]Steam!$H$37</definedName>
    <definedName name="UNIFORMANCES2R38C10" hidden="1">[11]Steam!$J$38</definedName>
    <definedName name="UNIFORMANCES2R38C8" hidden="1">[11]Steam!$H$38</definedName>
    <definedName name="UNIFORMANCES2R40C10" hidden="1">[11]Steam!$J$40</definedName>
    <definedName name="UNIFORMANCES2R40C5" hidden="1">[11]Steam!$E$40</definedName>
    <definedName name="UNIFORMANCES2R40C8" hidden="1">[11]Steam!$H$40</definedName>
    <definedName name="UNIFORMANCES2R42C10" hidden="1">[11]Steam!$J$42</definedName>
    <definedName name="UNIFORMANCES2R42C8" hidden="1">[11]Steam!$H$42</definedName>
    <definedName name="UNIFORMANCES2R44C10" hidden="1">[11]Steam!$J$44</definedName>
    <definedName name="UNIFORMANCES2R44C8" hidden="1">[11]Steam!$H$44</definedName>
    <definedName name="UNIFORMANCES2R45C10" hidden="1">[11]Steam!$J$45</definedName>
    <definedName name="UNIFORMANCES2R45C8" hidden="1">[11]Steam!$H$45</definedName>
    <definedName name="UNIFORMANCES2R46C10" hidden="1">[11]Steam!$J$46</definedName>
    <definedName name="UNIFORMANCES2R46C8" hidden="1">[11]Steam!$H$46</definedName>
    <definedName name="UNIFORMANCES2R47C10" hidden="1">[11]Steam!$J$47</definedName>
    <definedName name="UNIFORMANCES2R47C8" hidden="1">[11]Steam!$H$47</definedName>
    <definedName name="UNIFORMANCES2R48C10" hidden="1">[11]Steam!$J$48</definedName>
    <definedName name="UNIFORMANCES2R48C8" hidden="1">[11]Steam!$H$48</definedName>
    <definedName name="UNIFORMANCES2R49C10" hidden="1">[11]Steam!$J$49</definedName>
    <definedName name="UNIFORMANCES2R49C8" hidden="1">[11]Steam!$H$49</definedName>
    <definedName name="UNIFORMANCES2R50C10" hidden="1">[11]Steam!$J$50</definedName>
    <definedName name="UNIFORMANCES2R50C8" hidden="1">[11]Steam!$H$50</definedName>
    <definedName name="UNIFORMANCES2R51C10" hidden="1">[11]Steam!$J$51</definedName>
    <definedName name="UNIFORMANCES2R51C8" hidden="1">[11]Steam!$H$51</definedName>
    <definedName name="UNIFORMANCES2R53C10" hidden="1">[11]Steam!$J$53</definedName>
    <definedName name="UNIFORMANCES2R53C8" hidden="1">[11]Steam!$H$53</definedName>
    <definedName name="UNIFORMANCES2R54C10" hidden="1">[11]Steam!$J$54</definedName>
    <definedName name="UNIFORMANCES2R54C8" hidden="1">[11]Steam!$H$54</definedName>
    <definedName name="UNIFORMANCES2R55C10" hidden="1">[11]Steam!$J$55</definedName>
    <definedName name="UNIFORMANCES2R55C8" hidden="1">[11]Steam!$H$55</definedName>
    <definedName name="UNIFORMANCES2R56C10" hidden="1">[11]Steam!$J$56</definedName>
    <definedName name="UNIFORMANCES2R56C8" hidden="1">[11]Steam!$H$56</definedName>
    <definedName name="UNIFORMANCES2R58C10" hidden="1">[11]Steam!$J$58</definedName>
    <definedName name="UNIFORMANCES2R59C10" hidden="1">[11]Steam!$J$59</definedName>
    <definedName name="UNIFORMANCES2R59C8" hidden="1">[11]Steam!$H$59</definedName>
    <definedName name="UNIFORMANCES2R60C10" hidden="1">[11]Steam!$J$60</definedName>
    <definedName name="UNIFORMANCES2R60C8" hidden="1">[11]Steam!$H$60</definedName>
    <definedName name="UNIFORMANCES2R61C10" hidden="1">[11]Steam!$J$61</definedName>
    <definedName name="UNIFORMANCES2R61C5" hidden="1">[11]Steam!$E$61</definedName>
    <definedName name="UNIFORMANCES2R61C8" hidden="1">[11]Steam!$H$61</definedName>
    <definedName name="UNIFORMANCES2R62C10" hidden="1">[11]Steam!$J$62</definedName>
    <definedName name="UNIFORMANCES2R62C8" hidden="1">[11]Steam!$H$62</definedName>
    <definedName name="UNIFORMANCES2R63C10" hidden="1">[11]Steam!$J$63</definedName>
    <definedName name="UNIFORMANCES2R63C8" hidden="1">[11]Steam!$H$63</definedName>
    <definedName name="UNIFORMANCES2R64C10" hidden="1">[11]Steam!$J$64</definedName>
    <definedName name="UNIFORMANCES2R64C8" hidden="1">[11]Steam!$H$64</definedName>
    <definedName name="UNIFORMANCES2R66C10" hidden="1">[11]Steam!$J$66</definedName>
    <definedName name="UNIFORMANCES2R66C8" hidden="1">[11]Steam!$H$66</definedName>
    <definedName name="UNIFORMANCES2R67C10" hidden="1">[11]Steam!$J$67</definedName>
    <definedName name="UNIFORMANCES2R67C8" hidden="1">[11]Steam!$H$67</definedName>
    <definedName name="UNIFORMANCES2R68C10" hidden="1">[11]Steam!$J$68</definedName>
    <definedName name="UNIFORMANCES2R68C8" hidden="1">[11]Steam!$H$68</definedName>
    <definedName name="UNIFORMANCES2R69C10" hidden="1">[11]Steam!$J$69</definedName>
    <definedName name="UNIFORMANCES2R69C8" hidden="1">[11]Steam!$H$69</definedName>
    <definedName name="UNIFORMANCES2R70C10" hidden="1">[11]Steam!$J$70</definedName>
    <definedName name="UNIFORMANCES2R70C8" hidden="1">[11]Steam!$H$70</definedName>
    <definedName name="UNIFORMANCES2R71C10" hidden="1">[11]Steam!$J$71</definedName>
    <definedName name="UNIFORMANCES2R71C15" hidden="1">[11]Steam!$O$71</definedName>
    <definedName name="UNIFORMANCES2R71C8" hidden="1">[11]Steam!$H$71</definedName>
    <definedName name="UNIFORMANCES2R72C10" hidden="1">[11]Steam!$J$72</definedName>
    <definedName name="UNIFORMANCES2R72C8" hidden="1">[11]Steam!$H$72</definedName>
    <definedName name="UNIFORMANCES2R73C10" hidden="1">[11]Steam!$J$73</definedName>
    <definedName name="UNIFORMANCES2R73C8" hidden="1">[11]Steam!$H$73</definedName>
    <definedName name="UNIFORMANCES2R74C10" hidden="1">[11]Steam!$J$74</definedName>
    <definedName name="UNIFORMANCES2R74C8" hidden="1">[11]Steam!$H$74</definedName>
    <definedName name="UNIFORMANCES2R75C10" hidden="1">[11]Steam!$J$75</definedName>
    <definedName name="UNIFORMANCES2R75C8" hidden="1">[11]Steam!$H$75</definedName>
    <definedName name="UNIFORMANCES2R76C10" hidden="1">[11]Steam!$J$76</definedName>
    <definedName name="UNIFORMANCES2R76C8" hidden="1">[11]Steam!$H$76</definedName>
    <definedName name="UNIFORMANCES2R77C10" hidden="1">[11]Steam!$J$77</definedName>
    <definedName name="UNIFORMANCES2R77C8" hidden="1">[11]Steam!$H$77</definedName>
    <definedName name="UNIFORMANCES2R78C10" hidden="1">[11]Steam!$J$78</definedName>
    <definedName name="UNIFORMANCES2R78C8" hidden="1">[11]Steam!$H$78</definedName>
    <definedName name="UNIFORMANCES2R80C16" hidden="1">[11]Steam!$P$80</definedName>
    <definedName name="UNIFORMANCES2R81C10" hidden="1">[11]Steam!$J$81</definedName>
    <definedName name="UNIFORMANCES2R81C16" hidden="1">[11]Steam!$P$81</definedName>
    <definedName name="UNIFORMANCES2R81C8" hidden="1">[11]Steam!$H$81</definedName>
    <definedName name="UNIFORMANCES2R82C10" hidden="1">[11]Steam!$J$82</definedName>
    <definedName name="UNIFORMANCES2R82C16" hidden="1">[11]Steam!$P$82</definedName>
    <definedName name="UNIFORMANCES2R82C8" hidden="1">[11]Steam!$H$82</definedName>
    <definedName name="UNIFORMANCES2R83C10" hidden="1">[11]Steam!$J$83</definedName>
    <definedName name="UNIFORMANCES2R83C16" hidden="1">[11]Steam!$P$83</definedName>
    <definedName name="UNIFORMANCES2R83C8" hidden="1">[11]Steam!$H$83</definedName>
    <definedName name="UNIFORMANCES2R84C10" hidden="1">[11]Steam!$J$84</definedName>
    <definedName name="UNIFORMANCES2R84C8" hidden="1">[11]Steam!$H$84</definedName>
    <definedName name="UNIFORMANCES2R85C10" hidden="1">[11]Steam!$J$85</definedName>
    <definedName name="UNIFORMANCES2R85C8" hidden="1">[11]Steam!$H$85</definedName>
    <definedName name="UNIFORMANCES2R86C10" hidden="1">[11]Steam!$J$86</definedName>
    <definedName name="UNIFORMANCES2R86C8" hidden="1">[11]Steam!$H$86</definedName>
    <definedName name="UNIFORMANCES2R87C10" hidden="1">[11]Steam!$J$87</definedName>
    <definedName name="UNIFORMANCES2R87C23" hidden="1">[11]Steam!$W$87</definedName>
    <definedName name="UNIFORMANCES2R87C8" hidden="1">[11]Steam!$H$87</definedName>
    <definedName name="UNIFORMANCES2R88C10" hidden="1">[11]Steam!$J$88</definedName>
    <definedName name="UNIFORMANCES2R88C16" hidden="1">[11]Steam!$P$88</definedName>
    <definedName name="UNIFORMANCES2R88C8" hidden="1">[11]Steam!$H$88</definedName>
    <definedName name="UNIFORMANCES2R89C10" hidden="1">[11]Steam!$J$89</definedName>
    <definedName name="UNIFORMANCES2R89C16" hidden="1">[11]Steam!$P$89</definedName>
    <definedName name="UNIFORMANCES2R89C8" hidden="1">[11]Steam!$H$89</definedName>
    <definedName name="UNIFORMANCES2R90C10" hidden="1">[11]Steam!$J$90</definedName>
    <definedName name="UNIFORMANCES2R90C16" hidden="1">[11]Steam!$P$90</definedName>
    <definedName name="UNIFORMANCES2R90C8" hidden="1">[11]Steam!$H$90</definedName>
    <definedName name="UNIFORMANCES2R91C10" hidden="1">[11]Steam!$J$91</definedName>
    <definedName name="UNIFORMANCES2R91C16" hidden="1">[11]Steam!$P$91</definedName>
    <definedName name="UNIFORMANCES2R91C5" hidden="1">[11]Steam!$E$91</definedName>
    <definedName name="UNIFORMANCES2R91C8" hidden="1">[11]Steam!$H$91</definedName>
    <definedName name="UNIFORMANCES2R92C10" hidden="1">[11]Steam!$J$92</definedName>
    <definedName name="UNIFORMANCES2R92C8" hidden="1">[11]Steam!$H$92</definedName>
    <definedName name="UNIFORMANCES2R93C10" hidden="1">[11]Steam!$J$93</definedName>
    <definedName name="UNIFORMANCES2R93C8" hidden="1">[11]Steam!$H$93</definedName>
    <definedName name="UNIFORMANCES2R94C10" hidden="1">[11]Steam!$J$94</definedName>
    <definedName name="UNIFORMANCES2R94C8" hidden="1">[11]Steam!$H$94</definedName>
    <definedName name="UNIFORMANCES2R95C10" hidden="1">[11]Steam!$J$95</definedName>
    <definedName name="UNIFORMANCES2R95C8" hidden="1">[11]Steam!$H$95</definedName>
    <definedName name="UNIFORMANCES2R9C10" hidden="1">[11]Steam!$J$9</definedName>
    <definedName name="UNIFORMANCES2R9C8" hidden="1">[11]Steam!$H$9</definedName>
    <definedName name="UYTRC" localSheetId="0" hidden="1">{#N/A,#N/A,FALSE,"단축1";#N/A,#N/A,FALSE,"단축2";#N/A,#N/A,FALSE,"단축3";#N/A,#N/A,FALSE,"장축";#N/A,#N/A,FALSE,"4WD"}</definedName>
    <definedName name="UYTRC" hidden="1">{#N/A,#N/A,FALSE,"단축1";#N/A,#N/A,FALSE,"단축2";#N/A,#N/A,FALSE,"단축3";#N/A,#N/A,FALSE,"장축";#N/A,#N/A,FALSE,"4WD"}</definedName>
    <definedName name="v" localSheetId="0" hidden="1">{#N/A,#N/A,FALSE,"단축1";#N/A,#N/A,FALSE,"단축2";#N/A,#N/A,FALSE,"단축3";#N/A,#N/A,FALSE,"장축";#N/A,#N/A,FALSE,"4WD"}</definedName>
    <definedName name="v" hidden="1">{#N/A,#N/A,FALSE,"단축1";#N/A,#N/A,FALSE,"단축2";#N/A,#N/A,FALSE,"단축3";#N/A,#N/A,FALSE,"장축";#N/A,#N/A,FALSE,"4WD"}</definedName>
    <definedName name="VT">#REF!</definedName>
    <definedName name="W_Long">#REF!</definedName>
    <definedName name="WEARF" localSheetId="0" hidden="1">{#N/A,#N/A,TRUE,"Y생산";#N/A,#N/A,TRUE,"Y판매";#N/A,#N/A,TRUE,"Y총물량";#N/A,#N/A,TRUE,"Y능력";#N/A,#N/A,TRUE,"YKD"}</definedName>
    <definedName name="WEARF" hidden="1">{#N/A,#N/A,TRUE,"Y생산";#N/A,#N/A,TRUE,"Y판매";#N/A,#N/A,TRUE,"Y총물량";#N/A,#N/A,TRUE,"Y능력";#N/A,#N/A,TRUE,"YKD"}</definedName>
    <definedName name="wh" localSheetId="0" hidden="1">{#N/A,#N/A,FALSE,"단축1";#N/A,#N/A,FALSE,"단축2";#N/A,#N/A,FALSE,"단축3";#N/A,#N/A,FALSE,"장축";#N/A,#N/A,FALSE,"4WD"}</definedName>
    <definedName name="wh" hidden="1">{#N/A,#N/A,FALSE,"단축1";#N/A,#N/A,FALSE,"단축2";#N/A,#N/A,FALSE,"단축3";#N/A,#N/A,FALSE,"장축";#N/A,#N/A,FALSE,"4WD"}</definedName>
    <definedName name="wjdwlswlswlslwlsl" localSheetId="0" hidden="1">{#N/A,#N/A,TRUE,"Y생산";#N/A,#N/A,TRUE,"Y판매";#N/A,#N/A,TRUE,"Y총물량";#N/A,#N/A,TRUE,"Y능력";#N/A,#N/A,TRUE,"YKD"}</definedName>
    <definedName name="wjdwlswlswlslwlsl" hidden="1">{#N/A,#N/A,TRUE,"Y생산";#N/A,#N/A,TRUE,"Y판매";#N/A,#N/A,TRUE,"Y총물량";#N/A,#N/A,TRUE,"Y능력";#N/A,#N/A,TRUE,"YKD"}</definedName>
    <definedName name="WJSWKD" localSheetId="0" hidden="1">{#N/A,#N/A,FALSE,"단축1";#N/A,#N/A,FALSE,"단축2";#N/A,#N/A,FALSE,"단축3";#N/A,#N/A,FALSE,"장축";#N/A,#N/A,FALSE,"4WD"}</definedName>
    <definedName name="WJSWKD" hidden="1">{#N/A,#N/A,FALSE,"단축1";#N/A,#N/A,FALSE,"단축2";#N/A,#N/A,FALSE,"단축3";#N/A,#N/A,FALSE,"장축";#N/A,#N/A,FALSE,"4WD"}</definedName>
    <definedName name="wjwjwjwjwj" localSheetId="0" hidden="1">{#N/A,#N/A,FALSE,"단축1";#N/A,#N/A,FALSE,"단축2";#N/A,#N/A,FALSE,"단축3";#N/A,#N/A,FALSE,"장축";#N/A,#N/A,FALSE,"4WD"}</definedName>
    <definedName name="wjwjwjwjwj" hidden="1">{#N/A,#N/A,FALSE,"단축1";#N/A,#N/A,FALSE,"단축2";#N/A,#N/A,FALSE,"단축3";#N/A,#N/A,FALSE,"장축";#N/A,#N/A,FALSE,"4WD"}</definedName>
    <definedName name="wkworhgk" localSheetId="0" hidden="1">{#N/A,#N/A,TRUE,"Y생산";#N/A,#N/A,TRUE,"Y판매";#N/A,#N/A,TRUE,"Y총물량";#N/A,#N/A,TRUE,"Y능력";#N/A,#N/A,TRUE,"YKD"}</definedName>
    <definedName name="wkworhgk" hidden="1">{#N/A,#N/A,TRUE,"Y생산";#N/A,#N/A,TRUE,"Y판매";#N/A,#N/A,TRUE,"Y총물량";#N/A,#N/A,TRUE,"Y능력";#N/A,#N/A,TRUE,"YKD"}</definedName>
    <definedName name="wnd" localSheetId="0" hidden="1">{#N/A,#N/A,TRUE,"Y생산";#N/A,#N/A,TRUE,"Y판매";#N/A,#N/A,TRUE,"Y총물량";#N/A,#N/A,TRUE,"Y능력";#N/A,#N/A,TRUE,"YKD"}</definedName>
    <definedName name="wnd" hidden="1">{#N/A,#N/A,TRUE,"Y생산";#N/A,#N/A,TRUE,"Y판매";#N/A,#N/A,TRUE,"Y총물량";#N/A,#N/A,TRUE,"Y능력";#N/A,#N/A,TRUE,"YKD"}</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0" hidden="1">{#N/A,#N/A,FALSE,"´UA";#N/A,#N/A,FALSE,"´UA";#N/A,#N/A,FALSE,"´UA";#N/A,#N/A,FALSE,"Aa";#N/A,#N/A,FALSE,"4WD"}</definedName>
    <definedName name="wrn.AuºIAI¼a." hidden="1">{#N/A,#N/A,FALSE,"´UA";#N/A,#N/A,FALSE,"´UA";#N/A,#N/A,FALSE,"´UA";#N/A,#N/A,FALSE,"Aa";#N/A,#N/A,FALSE,"4WD"}</definedName>
    <definedName name="wrn.bbb." localSheetId="0" hidden="1">{#N/A,#N/A,FALSE,"단축1";#N/A,#N/A,FALSE,"단축2";#N/A,#N/A,FALSE,"단축3";#N/A,#N/A,FALSE,"장축";#N/A,#N/A,FALSE,"4WD"}</definedName>
    <definedName name="wrn.bbb." hidden="1">{#N/A,#N/A,FALSE,"단축1";#N/A,#N/A,FALSE,"단축2";#N/A,#N/A,FALSE,"단축3";#N/A,#N/A,FALSE,"장축";#N/A,#N/A,FALSE,"4WD"}</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localSheetId="0"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선사." localSheetId="0" hidden="1">{#N/A,#N/A,FALSE,"품의서";#N/A,#N/A,FALSE,"전제";#N/A,#N/A,FALSE,"총손";#N/A,#N/A,FALSE,"손익"}</definedName>
    <definedName name="wrn.선사." hidden="1">{#N/A,#N/A,FALSE,"품의서";#N/A,#N/A,FALSE,"전제";#N/A,#N/A,FALSE,"총손";#N/A,#N/A,FALSE,"손익"}</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업체선정보고서." localSheetId="0"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localSheetId="0" hidden="1">{#N/A,#N/A,FALSE,"협조전";#N/A,#N/A,FALSE,"원가절감계획 ";#N/A,#N/A,FALSE,"항목별원가절감계획"}</definedName>
    <definedName name="wrn.원가절감실적." hidden="1">{#N/A,#N/A,FALSE,"협조전";#N/A,#N/A,FALSE,"원가절감계획 ";#N/A,#N/A,FALSE,"항목별원가절감계획"}</definedName>
    <definedName name="wrn.일일생산현황." localSheetId="0" hidden="1">{#N/A,#N/A,FALSE,"10월"}</definedName>
    <definedName name="wrn.일일생산현황." hidden="1">{#N/A,#N/A,FALSE,"10월"}</definedName>
    <definedName name="wrn.재고분석." localSheetId="0" hidden="1">{#N/A,#N/A,TRUE,"재고분석";#N/A,#N/A,TRUE,"입고현황"}</definedName>
    <definedName name="wrn.재고분석." hidden="1">{#N/A,#N/A,TRUE,"재고분석";#N/A,#N/A,TRUE,"입고현황"}</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0" hidden="1">{#N/A,#N/A,FALSE,"정공"}</definedName>
    <definedName name="wrn.현대정공구매현황." hidden="1">{#N/A,#N/A,FALSE,"정공"}</definedName>
    <definedName name="wrn.ㅛY차보고" localSheetId="0" hidden="1">{#N/A,#N/A,TRUE,"Y생산";#N/A,#N/A,TRUE,"Y판매";#N/A,#N/A,TRUE,"Y총물량";#N/A,#N/A,TRUE,"Y능력";#N/A,#N/A,TRUE,"YKD"}</definedName>
    <definedName name="wrn.ㅛY차보고" hidden="1">{#N/A,#N/A,TRUE,"Y생산";#N/A,#N/A,TRUE,"Y판매";#N/A,#N/A,TRUE,"Y총물량";#N/A,#N/A,TRUE,"Y능력";#N/A,#N/A,TRUE,"YKD"}</definedName>
    <definedName name="WWWWWW" localSheetId="0" hidden="1">{#N/A,#N/A,FALSE,"표지";#N/A,#N/A,FALSE,"전제";#N/A,#N/A,FALSE,"대당";#N/A,#N/A,FALSE,"가공비";#N/A,#N/A,FALSE,"재료비";#N/A,#N/A,FALSE,"손익"}</definedName>
    <definedName name="WWWWWW" hidden="1">{#N/A,#N/A,FALSE,"표지";#N/A,#N/A,FALSE,"전제";#N/A,#N/A,FALSE,"대당";#N/A,#N/A,FALSE,"가공비";#N/A,#N/A,FALSE,"재료비";#N/A,#N/A,FALSE,"손익"}</definedName>
    <definedName name="WWWWWWW" localSheetId="0" hidden="1">{#N/A,#N/A,FALSE,"전제";#N/A,#N/A,FALSE,"표지";#N/A,#N/A,FALSE,"6D16";#N/A,#N/A,FALSE,"6D22";#N/A,#N/A,FALSE,"6D22-T";#N/A,#N/A,FALSE,"Q-DEG";#N/A,#N/A,FALSE,"총손";#N/A,#N/A,FALSE,"대당";#N/A,#N/A,FALSE,"가공비"}</definedName>
    <definedName name="WWWWWWW" hidden="1">{#N/A,#N/A,FALSE,"전제";#N/A,#N/A,FALSE,"표지";#N/A,#N/A,FALSE,"6D16";#N/A,#N/A,FALSE,"6D22";#N/A,#N/A,FALSE,"6D22-T";#N/A,#N/A,FALSE,"Q-DEG";#N/A,#N/A,FALSE,"총손";#N/A,#N/A,FALSE,"대당";#N/A,#N/A,FALSE,"가공비"}</definedName>
    <definedName name="X" localSheetId="0" hidden="1">{#N/A,#N/A,TRUE,"Y생산";#N/A,#N/A,TRUE,"Y판매";#N/A,#N/A,TRUE,"Y총물량";#N/A,#N/A,TRUE,"Y능력";#N/A,#N/A,TRUE,"YKD"}</definedName>
    <definedName name="X" hidden="1">{#N/A,#N/A,TRUE,"Y생산";#N/A,#N/A,TRUE,"Y판매";#N/A,#N/A,TRUE,"Y총물량";#N/A,#N/A,TRUE,"Y능력";#N/A,#N/A,TRUE,"YKD"}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S" localSheetId="0" hidden="1">{#N/A,#N/A,FALSE,"단축1";#N/A,#N/A,FALSE,"단축2";#N/A,#N/A,FALSE,"단축3";#N/A,#N/A,FALSE,"장축";#N/A,#N/A,FALSE,"4WD"}</definedName>
    <definedName name="XS" hidden="1">{#N/A,#N/A,FALSE,"단축1";#N/A,#N/A,FALSE,"단축2";#N/A,#N/A,FALSE,"단축3";#N/A,#N/A,FALSE,"장축";#N/A,#N/A,FALSE,"4WD"}</definedName>
    <definedName name="Year">'[9]PV Installation Cost'!$C$2:$AG$2</definedName>
    <definedName name="yhw" localSheetId="0" hidden="1">{#N/A,#N/A,FALSE,"단축1";#N/A,#N/A,FALSE,"단축2";#N/A,#N/A,FALSE,"단축3";#N/A,#N/A,FALSE,"장축";#N/A,#N/A,FALSE,"4WD"}</definedName>
    <definedName name="yhw" hidden="1">{#N/A,#N/A,FALSE,"단축1";#N/A,#N/A,FALSE,"단축2";#N/A,#N/A,FALSE,"단축3";#N/A,#N/A,FALSE,"장축";#N/A,#N/A,FALSE,"4WD"}</definedName>
    <definedName name="YRTY" localSheetId="0" hidden="1">{#N/A,#N/A,FALSE,"단축1";#N/A,#N/A,FALSE,"단축2";#N/A,#N/A,FALSE,"단축3";#N/A,#N/A,FALSE,"장축";#N/A,#N/A,FALSE,"4WD"}</definedName>
    <definedName name="YRTY" hidden="1">{#N/A,#N/A,FALSE,"단축1";#N/A,#N/A,FALSE,"단축2";#N/A,#N/A,FALSE,"단축3";#N/A,#N/A,FALSE,"장축";#N/A,#N/A,FALSE,"4WD"}</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θ" localSheetId="0" hidden="1">{#N/A,#N/A,FALSE,"신규dep";#N/A,#N/A,FALSE,"신규dep-금형상각후";#N/A,#N/A,FALSE,"신규dep-연구비상각후";#N/A,#N/A,FALSE,"신규dep-기계,공구상각후"}</definedName>
    <definedName name="θ" hidden="1">{#N/A,#N/A,FALSE,"신규dep";#N/A,#N/A,FALSE,"신규dep-금형상각후";#N/A,#N/A,FALSE,"신규dep-연구비상각후";#N/A,#N/A,FALSE,"신규dep-기계,공구상각후"}</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{#N/A,#N/A,FALSE,"단축1";#N/A,#N/A,FALSE,"단축2";#N/A,#N/A,FALSE,"단축3";#N/A,#N/A,FALSE,"장축";#N/A,#N/A,FALSE,"4WD"}</definedName>
    <definedName name="가" hidden="1">{#N/A,#N/A,FALSE,"단축1";#N/A,#N/A,FALSE,"단축2";#N/A,#N/A,FALSE,"단축3";#N/A,#N/A,FALSE,"장축";#N/A,#N/A,FALSE,"4WD"}</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가" localSheetId="0" hidden="1">{#N/A,#N/A,FALSE,"단축1";#N/A,#N/A,FALSE,"단축2";#N/A,#N/A,FALSE,"단축3";#N/A,#N/A,FALSE,"장축";#N/A,#N/A,FALSE,"4WD"}</definedName>
    <definedName name="가가" hidden="1">{#N/A,#N/A,FALSE,"단축1";#N/A,#N/A,FALSE,"단축2";#N/A,#N/A,FALSE,"단축3";#N/A,#N/A,FALSE,"장축";#N/A,#N/A,FALSE,"4WD"}</definedName>
    <definedName name="가격경쟁력" localSheetId="0" hidden="1">{#N/A,#N/A,FALSE,"단축1";#N/A,#N/A,FALSE,"단축2";#N/A,#N/A,FALSE,"단축3";#N/A,#N/A,FALSE,"장축";#N/A,#N/A,FALSE,"4WD"}</definedName>
    <definedName name="가격경쟁력" hidden="1">{#N/A,#N/A,FALSE,"단축1";#N/A,#N/A,FALSE,"단축2";#N/A,#N/A,FALSE,"단축3";#N/A,#N/A,FALSE,"장축";#N/A,#N/A,FALSE,"4WD"}</definedName>
    <definedName name="가격구조2" localSheetId="0" hidden="1">{#N/A,#N/A,FALSE,"단축1";#N/A,#N/A,FALSE,"단축2";#N/A,#N/A,FALSE,"단축3";#N/A,#N/A,FALSE,"장축";#N/A,#N/A,FALSE,"4WD"}</definedName>
    <definedName name="가격구조2" hidden="1">{#N/A,#N/A,FALSE,"단축1";#N/A,#N/A,FALSE,"단축2";#N/A,#N/A,FALSE,"단축3";#N/A,#N/A,FALSE,"장축";#N/A,#N/A,FALSE,"4WD"}</definedName>
    <definedName name="가격구조II" localSheetId="0" hidden="1">{#N/A,#N/A,FALSE,"단축1";#N/A,#N/A,FALSE,"단축2";#N/A,#N/A,FALSE,"단축3";#N/A,#N/A,FALSE,"장축";#N/A,#N/A,FALSE,"4WD"}</definedName>
    <definedName name="가격구조II" hidden="1">{#N/A,#N/A,FALSE,"단축1";#N/A,#N/A,FALSE,"단축2";#N/A,#N/A,FALSE,"단축3";#N/A,#N/A,FALSE,"장축";#N/A,#N/A,FALSE,"4WD"}</definedName>
    <definedName name="가나" localSheetId="0" hidden="1">{#N/A,#N/A,FALSE,"표지";#N/A,#N/A,FALSE,"을지1";#N/A,#N/A,FALSE,"일정1";#N/A,#N/A,FALSE,"일정2";#N/A,#N/A,FALSE,"11T-C";#N/A,#N/A,FALSE,"15T-D";#N/A,#N/A,FALSE,"판매현황";#N/A,#N/A,FALSE,"업무 FLOW"}</definedName>
    <definedName name="가나" hidden="1">{#N/A,#N/A,FALSE,"표지";#N/A,#N/A,FALSE,"을지1";#N/A,#N/A,FALSE,"일정1";#N/A,#N/A,FALSE,"일정2";#N/A,#N/A,FALSE,"11T-C";#N/A,#N/A,FALSE,"15T-D";#N/A,#N/A,FALSE,"판매현황";#N/A,#N/A,FALSE,"업무 FLOW"}</definedName>
    <definedName name="가동" localSheetId="0" hidden="1">{#N/A,#N/A,TRUE,"Y생산";#N/A,#N/A,TRUE,"Y판매";#N/A,#N/A,TRUE,"Y총물량";#N/A,#N/A,TRUE,"Y능력";#N/A,#N/A,TRUE,"YKD"}</definedName>
    <definedName name="가동" hidden="1">{#N/A,#N/A,TRUE,"Y생산";#N/A,#N/A,TRUE,"Y판매";#N/A,#N/A,TRUE,"Y총물량";#N/A,#N/A,TRUE,"Y능력";#N/A,#N/A,TRUE,"YKD"}</definedName>
    <definedName name="가동2" localSheetId="0" hidden="1">{#N/A,#N/A,TRUE,"Y생산";#N/A,#N/A,TRUE,"Y판매";#N/A,#N/A,TRUE,"Y총물량";#N/A,#N/A,TRUE,"Y능력";#N/A,#N/A,TRUE,"YKD"}</definedName>
    <definedName name="가동2" hidden="1">{#N/A,#N/A,TRUE,"Y생산";#N/A,#N/A,TRUE,"Y판매";#N/A,#N/A,TRUE,"Y총물량";#N/A,#N/A,TRUE,"Y능력";#N/A,#N/A,TRUE,"YKD"}</definedName>
    <definedName name="가동조건" localSheetId="0" hidden="1">{#N/A,#N/A,FALSE,"96 3월물량표";#N/A,#N/A,FALSE,"96 4월물량표";#N/A,#N/A,FALSE,"96 5월물량표"}</definedName>
    <definedName name="가동조건" hidden="1">{#N/A,#N/A,FALSE,"96 3월물량표";#N/A,#N/A,FALSE,"96 4월물량표";#N/A,#N/A,FALSE,"96 5월물량표"}</definedName>
    <definedName name="가아나" localSheetId="0" hidden="1">{#N/A,#N/A,TRUE,"Y생산";#N/A,#N/A,TRUE,"Y판매";#N/A,#N/A,TRUE,"Y총물량";#N/A,#N/A,TRUE,"Y능력";#N/A,#N/A,TRUE,"YKD"}</definedName>
    <definedName name="가아나" hidden="1">{#N/A,#N/A,TRUE,"Y생산";#N/A,#N/A,TRUE,"Y판매";#N/A,#N/A,TRUE,"Y총물량";#N/A,#N/A,TRUE,"Y능력";#N/A,#N/A,TRUE,"YKD"}</definedName>
    <definedName name="가아이" localSheetId="0" hidden="1">{#N/A,#N/A,FALSE,"표지";#N/A,#N/A,FALSE,"전제";#N/A,#N/A,FALSE,"손익-자 (2)";#N/A,#N/A,FALSE,"손익-자";#N/A,#N/A,FALSE,"손익-마 (2)";#N/A,#N/A,FALSE,"손익-마";#N/A,#N/A,FALSE,"총손최종"}</definedName>
    <definedName name="가아이" hidden="1">{#N/A,#N/A,FALSE,"표지";#N/A,#N/A,FALSE,"전제";#N/A,#N/A,FALSE,"손익-자 (2)";#N/A,#N/A,FALSE,"손익-자";#N/A,#N/A,FALSE,"손익-마 (2)";#N/A,#N/A,FALSE,"손익-마";#N/A,#N/A,FALSE,"총손최종"}</definedName>
    <definedName name="가아ㅏ악가ㅏ아거" localSheetId="0" hidden="1">{#N/A,#N/A,FALSE,"단축1";#N/A,#N/A,FALSE,"단축2";#N/A,#N/A,FALSE,"단축3";#N/A,#N/A,FALSE,"장축";#N/A,#N/A,FALSE,"4WD"}</definedName>
    <definedName name="가아ㅏ악가ㅏ아거" hidden="1">{#N/A,#N/A,FALSE,"단축1";#N/A,#N/A,FALSE,"단축2";#N/A,#N/A,FALSE,"단축3";#N/A,#N/A,FALSE,"장축";#N/A,#N/A,FALSE,"4WD"}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개발" localSheetId="0"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선" localSheetId="0" hidden="1">{#N/A,#N/A,FALSE,"협조전";#N/A,#N/A,FALSE,"원가절감계획 ";#N/A,#N/A,FALSE,"항목별원가절감계획"}</definedName>
    <definedName name="개선" hidden="1">{#N/A,#N/A,FALSE,"협조전";#N/A,#N/A,FALSE,"원가절감계획 ";#N/A,#N/A,FALSE,"항목별원가절감계획"}</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거너" localSheetId="0" hidden="1">{#N/A,#N/A,FALSE,"단축1";#N/A,#N/A,FALSE,"단축2";#N/A,#N/A,FALSE,"단축3";#N/A,#N/A,FALSE,"장축";#N/A,#N/A,FALSE,"4WD"}</definedName>
    <definedName name="거너" hidden="1">{#N/A,#N/A,FALSE,"단축1";#N/A,#N/A,FALSE,"단축2";#N/A,#N/A,FALSE,"단축3";#N/A,#N/A,FALSE,"장축";#N/A,#N/A,FALSE,"4WD"}</definedName>
    <definedName name="건설트럭" localSheetId="0" hidden="1">{#N/A,#N/A,FALSE,"신규dep";#N/A,#N/A,FALSE,"신규dep-금형상각후";#N/A,#N/A,FALSE,"신규dep-연구비상각후";#N/A,#N/A,FALSE,"신규dep-기계,공구상각후"}</definedName>
    <definedName name="건설트럭" hidden="1">{#N/A,#N/A,FALSE,"신규dep";#N/A,#N/A,FALSE,"신규dep-금형상각후";#N/A,#N/A,FALSE,"신규dep-연구비상각후";#N/A,#N/A,FALSE,"신규dep-기계,공구상각후"}</definedName>
    <definedName name="검토" localSheetId="0" hidden="1">{#N/A,#N/A,FALSE,"단축1";#N/A,#N/A,FALSE,"단축2";#N/A,#N/A,FALSE,"단축3";#N/A,#N/A,FALSE,"장축";#N/A,#N/A,FALSE,"4WD"}</definedName>
    <definedName name="검토" hidden="1">{#N/A,#N/A,FALSE,"단축1";#N/A,#N/A,FALSE,"단축2";#N/A,#N/A,FALSE,"단축3";#N/A,#N/A,FALSE,"장축";#N/A,#N/A,FALSE,"4WD"}</definedName>
    <definedName name="검토3" localSheetId="0" hidden="1">{#N/A,#N/A,FALSE,"단축1";#N/A,#N/A,FALSE,"단축2";#N/A,#N/A,FALSE,"단축3";#N/A,#N/A,FALSE,"장축";#N/A,#N/A,FALSE,"4WD"}</definedName>
    <definedName name="검토3" hidden="1">{#N/A,#N/A,FALSE,"단축1";#N/A,#N/A,FALSE,"단축2";#N/A,#N/A,FALSE,"단축3";#N/A,#N/A,FALSE,"장축";#N/A,#N/A,FALSE,"4WD"}</definedName>
    <definedName name="검토6학" localSheetId="0" hidden="1">{#N/A,#N/A,FALSE,"단축1";#N/A,#N/A,FALSE,"단축2";#N/A,#N/A,FALSE,"단축3";#N/A,#N/A,FALSE,"장축";#N/A,#N/A,FALSE,"4WD"}</definedName>
    <definedName name="검토6학" hidden="1">{#N/A,#N/A,FALSE,"단축1";#N/A,#N/A,FALSE,"단축2";#N/A,#N/A,FALSE,"단축3";#N/A,#N/A,FALSE,"장축";#N/A,#N/A,FALSE,"4WD"}</definedName>
    <definedName name="겟츠런칭전략" localSheetId="0" hidden="1">{#N/A,#N/A,FALSE,"단축1";#N/A,#N/A,FALSE,"단축2";#N/A,#N/A,FALSE,"단축3";#N/A,#N/A,FALSE,"장축";#N/A,#N/A,FALSE,"4WD"}</definedName>
    <definedName name="겟츠런칭전략" hidden="1">{#N/A,#N/A,FALSE,"단축1";#N/A,#N/A,FALSE,"단축2";#N/A,#N/A,FALSE,"단축3";#N/A,#N/A,FALSE,"장축";#N/A,#N/A,FALSE,"4WD"}</definedName>
    <definedName name="겟츠전략" localSheetId="0" hidden="1">{#N/A,#N/A,FALSE,"단축1";#N/A,#N/A,FALSE,"단축2";#N/A,#N/A,FALSE,"단축3";#N/A,#N/A,FALSE,"장축";#N/A,#N/A,FALSE,"4WD"}</definedName>
    <definedName name="겟츠전략" hidden="1">{#N/A,#N/A,FALSE,"단축1";#N/A,#N/A,FALSE,"단축2";#N/A,#N/A,FALSE,"단축3";#N/A,#N/A,FALSE,"장축";#N/A,#N/A,FALSE,"4WD"}</definedName>
    <definedName name="겟츠전략안" localSheetId="0" hidden="1">{#N/A,#N/A,FALSE,"단축1";#N/A,#N/A,FALSE,"단축2";#N/A,#N/A,FALSE,"단축3";#N/A,#N/A,FALSE,"장축";#N/A,#N/A,FALSE,"4WD"}</definedName>
    <definedName name="겟츠전략안" hidden="1">{#N/A,#N/A,FALSE,"단축1";#N/A,#N/A,FALSE,"단축2";#N/A,#N/A,FALSE,"단축3";#N/A,#N/A,FALSE,"장축";#N/A,#N/A,FALSE,"4WD"}</definedName>
    <definedName name="경" localSheetId="0" hidden="1">{#N/A,#N/A,FALSE,"표지";#N/A,#N/A,FALSE,"전제";#N/A,#N/A,FALSE,"손익-자 (2)";#N/A,#N/A,FALSE,"손익-자";#N/A,#N/A,FALSE,"손익-마 (2)";#N/A,#N/A,FALSE,"손익-마";#N/A,#N/A,FALSE,"총손최종"}</definedName>
    <definedName name="경" hidden="1">{#N/A,#N/A,FALSE,"표지";#N/A,#N/A,FALSE,"전제";#N/A,#N/A,FALSE,"손익-자 (2)";#N/A,#N/A,FALSE,"손익-자";#N/A,#N/A,FALSE,"손익-마 (2)";#N/A,#N/A,FALSE,"손익-마";#N/A,#N/A,FALSE,"총손최종"}</definedName>
    <definedName name="경상비8월" localSheetId="0" hidden="1">{#N/A,#N/A,FALSE,"단축1";#N/A,#N/A,FALSE,"단축2";#N/A,#N/A,FALSE,"단축3";#N/A,#N/A,FALSE,"장축";#N/A,#N/A,FALSE,"4WD"}</definedName>
    <definedName name="경상비8월" hidden="1">{#N/A,#N/A,FALSE,"단축1";#N/A,#N/A,FALSE,"단축2";#N/A,#N/A,FALSE,"단축3";#N/A,#N/A,FALSE,"장축";#N/A,#N/A,FALSE,"4WD"}</definedName>
    <definedName name="경아" localSheetId="0" hidden="1">{#N/A,#N/A,FALSE,"표지";#N/A,#N/A,FALSE,"전제";#N/A,#N/A,FALSE,"손익-자 (2)";#N/A,#N/A,FALSE,"손익-자";#N/A,#N/A,FALSE,"손익-마 (2)";#N/A,#N/A,FALSE,"손익-마";#N/A,#N/A,FALSE,"총손최종"}</definedName>
    <definedName name="경아" hidden="1">{#N/A,#N/A,FALSE,"표지";#N/A,#N/A,FALSE,"전제";#N/A,#N/A,FALSE,"손익-자 (2)";#N/A,#N/A,FALSE,"손익-자";#N/A,#N/A,FALSE,"손익-마 (2)";#N/A,#N/A,FALSE,"손익-마";#N/A,#N/A,FALSE,"총손최종"}</definedName>
    <definedName name="경쟁력" localSheetId="0" hidden="1">{#N/A,#N/A,FALSE,"단축1";#N/A,#N/A,FALSE,"단축2";#N/A,#N/A,FALSE,"단축3";#N/A,#N/A,FALSE,"장축";#N/A,#N/A,FALSE,"4WD"}</definedName>
    <definedName name="경쟁력" hidden="1">{#N/A,#N/A,FALSE,"단축1";#N/A,#N/A,FALSE,"단축2";#N/A,#N/A,FALSE,"단축3";#N/A,#N/A,FALSE,"장축";#N/A,#N/A,FALSE,"4WD"}</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약예정_계약년도">'[10]DB-계약예정'!$Q$4:$Q$75</definedName>
    <definedName name="계약예정_선가">'[10]DB-계약예정'!$L$4:$L$75</definedName>
    <definedName name="계약예정_야드2">'[10]DB-계약예정'!$B$4:$B$75</definedName>
    <definedName name="계약완료_DATEVALUE">'[10]DB-계약완료'!$R$4:$R$157</definedName>
    <definedName name="계약완료_계약년도">'[10]DB-계약완료'!$Q$4:$Q$157</definedName>
    <definedName name="계약완료_선가">'[10]DB-계약완료'!$L$4:$L$157</definedName>
    <definedName name="계약완료_선종코드">'[10]DB-계약완료'!$K$4:$K$157</definedName>
    <definedName name="계약완료_야드2">'[10]DB-계약완료'!$B$4:$B$157</definedName>
    <definedName name="계약완료_척수">'[10]DB-계약완료'!$AC$4:$AC$157</definedName>
    <definedName name="계약완료_팀">'[10]DB-계약완료'!$T$4:$T$157</definedName>
    <definedName name="계약완료_환경사양">'[10]DB-계약완료'!$AE$4:$AE$157</definedName>
    <definedName name="계정종합표" localSheetId="0" hidden="1">{#N/A,#N/A,TRUE,"Y생산";#N/A,#N/A,TRUE,"Y판매";#N/A,#N/A,TRUE,"Y총물량";#N/A,#N/A,TRUE,"Y능력";#N/A,#N/A,TRUE,"YKD"}</definedName>
    <definedName name="계정종합표" hidden="1">{#N/A,#N/A,TRUE,"Y생산";#N/A,#N/A,TRUE,"Y판매";#N/A,#N/A,TRUE,"Y총물량";#N/A,#N/A,TRUE,"Y능력";#N/A,#N/A,TRUE,"YKD"}</definedName>
    <definedName name="계획" localSheetId="0" hidden="1">{#N/A,#N/A,FALSE,"단축1";#N/A,#N/A,FALSE,"단축2";#N/A,#N/A,FALSE,"단축3";#N/A,#N/A,FALSE,"장축";#N/A,#N/A,FALSE,"4WD"}</definedName>
    <definedName name="계획" hidden="1">{#N/A,#N/A,FALSE,"단축1";#N/A,#N/A,FALSE,"단축2";#N/A,#N/A,FALSE,"단축3";#N/A,#N/A,FALSE,"장축";#N/A,#N/A,FALSE,"4WD"}</definedName>
    <definedName name="고" localSheetId="0" hidden="1">{#N/A,#N/A,FALSE,"단축1";#N/A,#N/A,FALSE,"단축2";#N/A,#N/A,FALSE,"단축3";#N/A,#N/A,FALSE,"장축";#N/A,#N/A,FALSE,"4WD"}</definedName>
    <definedName name="고" hidden="1">{#N/A,#N/A,FALSE,"단축1";#N/A,#N/A,FALSE,"단축2";#N/A,#N/A,FALSE,"단축3";#N/A,#N/A,FALSE,"장축";#N/A,#N/A,FALSE,"4WD"}</definedName>
    <definedName name="고체연료연소">'[1]5-2. Emission Facility'!#REF!</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배출원구분">[12]공정배출목록!$B$25:$B$35</definedName>
    <definedName name="공정실사" localSheetId="0" hidden="1">{#N/A,#N/A,FALSE,"단축1";#N/A,#N/A,FALSE,"단축2";#N/A,#N/A,FALSE,"단축3";#N/A,#N/A,FALSE,"장축";#N/A,#N/A,FALSE,"4WD"}</definedName>
    <definedName name="공정실사" hidden="1">{#N/A,#N/A,FALSE,"단축1";#N/A,#N/A,FALSE,"단축2";#N/A,#N/A,FALSE,"단축3";#N/A,#N/A,FALSE,"장축";#N/A,#N/A,FALSE,"4WD"}</definedName>
    <definedName name="공ㅌ오" localSheetId="0" hidden="1">{#N/A,#N/A,TRUE,"Y생산";#N/A,#N/A,TRUE,"Y판매";#N/A,#N/A,TRUE,"Y총물량";#N/A,#N/A,TRUE,"Y능력";#N/A,#N/A,TRUE,"YKD"}</definedName>
    <definedName name="공ㅌ오" hidden="1">{#N/A,#N/A,TRUE,"Y생산";#N/A,#N/A,TRUE,"Y판매";#N/A,#N/A,TRUE,"Y총물량";#N/A,#N/A,TRUE,"Y능력";#N/A,#N/A,TRUE,"YKD"}</definedName>
    <definedName name="과거실적" localSheetId="0" hidden="1">{#N/A,#N/A,FALSE,"단축1";#N/A,#N/A,FALSE,"단축2";#N/A,#N/A,FALSE,"단축3";#N/A,#N/A,FALSE,"장축";#N/A,#N/A,FALSE,"4WD"}</definedName>
    <definedName name="과거실적" hidden="1">{#N/A,#N/A,FALSE,"단축1";#N/A,#N/A,FALSE,"단축2";#N/A,#N/A,FALSE,"단축3";#N/A,#N/A,FALSE,"장축";#N/A,#N/A,FALSE,"4WD"}</definedName>
    <definedName name="과목세목현황" localSheetId="0" hidden="1">{#N/A,#N/A,TRUE,"Y생산";#N/A,#N/A,TRUE,"Y판매";#N/A,#N/A,TRUE,"Y총물량";#N/A,#N/A,TRUE,"Y능력";#N/A,#N/A,TRUE,"YKD"}</definedName>
    <definedName name="과목세목현황" hidden="1">{#N/A,#N/A,TRUE,"Y생산";#N/A,#N/A,TRUE,"Y판매";#N/A,#N/A,TRUE,"Y총물량";#N/A,#N/A,TRUE,"Y능력";#N/A,#N/A,TRUE,"YKD"}</definedName>
    <definedName name="관리지표2" localSheetId="0" hidden="1">{#N/A,#N/A,TRUE,"Y생산";#N/A,#N/A,TRUE,"Y판매";#N/A,#N/A,TRUE,"Y총물량";#N/A,#N/A,TRUE,"Y능력";#N/A,#N/A,TRUE,"YKD"}</definedName>
    <definedName name="관리지표2" hidden="1">{#N/A,#N/A,TRUE,"Y생산";#N/A,#N/A,TRUE,"Y판매";#N/A,#N/A,TRUE,"Y총물량";#N/A,#N/A,TRUE,"Y능력";#N/A,#N/A,TRUE,"YKD"}</definedName>
    <definedName name="광2공장">#REF!</definedName>
    <definedName name="광Fiber">#REF!</definedName>
    <definedName name="교" localSheetId="0" hidden="1">{#N/A,#N/A,FALSE,"단축1";#N/A,#N/A,FALSE,"단축2";#N/A,#N/A,FALSE,"단축3";#N/A,#N/A,FALSE,"장축";#N/A,#N/A,FALSE,"4WD"}</definedName>
    <definedName name="교" hidden="1">{#N/A,#N/A,FALSE,"단축1";#N/A,#N/A,FALSE,"단축2";#N/A,#N/A,FALSE,"단축3";#N/A,#N/A,FALSE,"장축";#N/A,#N/A,FALSE,"4WD"}</definedName>
    <definedName name="교육.0217" localSheetId="0" hidden="1">{#N/A,#N/A,FALSE,"단축1";#N/A,#N/A,FALSE,"단축2";#N/A,#N/A,FALSE,"단축3";#N/A,#N/A,FALSE,"장축";#N/A,#N/A,FALSE,"4WD"}</definedName>
    <definedName name="교육.0217" hidden="1">{#N/A,#N/A,FALSE,"단축1";#N/A,#N/A,FALSE,"단축2";#N/A,#N/A,FALSE,"단축3";#N/A,#N/A,FALSE,"장축";#N/A,#N/A,FALSE,"4WD"}</definedName>
    <definedName name="교통수단별배출계수">[6]배출계수!$B$42:$D$48</definedName>
    <definedName name="구간수단별거리">'[6]Raw-Data - Category 6 국내출장'!$P$9:$V$1097</definedName>
    <definedName name="구매자원별배출계수">[6]배출계수!#REF!</definedName>
    <definedName name="구미건물">#REF!</definedName>
    <definedName name="구분" localSheetId="0" hidden="1">{"'Sheet1'!$R$24:$V$24"}</definedName>
    <definedName name="구분" hidden="1">{"'Sheet1'!$R$24:$V$24"}</definedName>
    <definedName name="구상" localSheetId="0" hidden="1">{#N/A,#N/A,FALSE,"단축1";#N/A,#N/A,FALSE,"단축2";#N/A,#N/A,FALSE,"단축3";#N/A,#N/A,FALSE,"장축";#N/A,#N/A,FALSE,"4WD"}</definedName>
    <definedName name="구상" hidden="1">{#N/A,#N/A,FALSE,"단축1";#N/A,#N/A,FALSE,"단축2";#N/A,#N/A,FALSE,"단축3";#N/A,#N/A,FALSE,"장축";#N/A,#N/A,FALSE,"4WD"}</definedName>
    <definedName name="구상1" localSheetId="0"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localSheetId="0" hidden="1">{#N/A,#N/A,FALSE,"산학연 합동연구";#N/A,#N/A,FALSE,"96업무계획";#N/A,#N/A,FALSE,"96기술개발계획";#N/A,#N/A,FALSE,"인력양성";#N/A,#N/A,FALSE,"7. 원가절감계획";#N/A,#N/A,FALSE,"노무";#N/A,#N/A,FALSE,"업무계획";#N/A,#N/A,FALSE,"제목"}</definedName>
    <definedName name="구자동화1" hidden="1">{#N/A,#N/A,FALSE,"산학연 합동연구";#N/A,#N/A,FALSE,"96업무계획";#N/A,#N/A,FALSE,"96기술개발계획";#N/A,#N/A,FALSE,"인력양성";#N/A,#N/A,FALSE,"7. 원가절감계획";#N/A,#N/A,FALSE,"노무";#N/A,#N/A,FALSE,"업무계획";#N/A,#N/A,FALSE,"제목"}</definedName>
    <definedName name="국가별일반현황" localSheetId="0" hidden="1">{#N/A,#N/A,FALSE,"단축1";#N/A,#N/A,FALSE,"단축2";#N/A,#N/A,FALSE,"단축3";#N/A,#N/A,FALSE,"장축";#N/A,#N/A,FALSE,"4WD"}</definedName>
    <definedName name="국가별일반현황" hidden="1">{#N/A,#N/A,FALSE,"단축1";#N/A,#N/A,FALSE,"단축2";#N/A,#N/A,FALSE,"단축3";#N/A,#N/A,FALSE,"장축";#N/A,#N/A,FALSE,"4WD"}</definedName>
    <definedName name="국내raw">[13]국내raw!$A$1:$Y$4428</definedName>
    <definedName name="국회ㅣㅣㅣ" localSheetId="0" hidden="1">{#N/A,#N/A,FALSE,"단축1";#N/A,#N/A,FALSE,"단축2";#N/A,#N/A,FALSE,"단축3";#N/A,#N/A,FALSE,"장축";#N/A,#N/A,FALSE,"4WD"}</definedName>
    <definedName name="국회ㅣㅣㅣ" hidden="1">{#N/A,#N/A,FALSE,"단축1";#N/A,#N/A,FALSE,"단축2";#N/A,#N/A,FALSE,"단축3";#N/A,#N/A,FALSE,"장축";#N/A,#N/A,FALSE,"4WD"}</definedName>
    <definedName name="그그르" localSheetId="0" hidden="1">{#N/A,#N/A,FALSE,"단축1";#N/A,#N/A,FALSE,"단축2";#N/A,#N/A,FALSE,"단축3";#N/A,#N/A,FALSE,"장축";#N/A,#N/A,FALSE,"4WD"}</definedName>
    <definedName name="그그르" hidden="1">{#N/A,#N/A,FALSE,"단축1";#N/A,#N/A,FALSE,"단축2";#N/A,#N/A,FALSE,"단축3";#N/A,#N/A,FALSE,"장축";#N/A,#N/A,FALSE,"4WD"}</definedName>
    <definedName name="그럼" localSheetId="0" hidden="1">{#N/A,#N/A,FALSE,"단축1";#N/A,#N/A,FALSE,"단축2";#N/A,#N/A,FALSE,"단축3";#N/A,#N/A,FALSE,"장축";#N/A,#N/A,FALSE,"4WD"}</definedName>
    <definedName name="그럼" hidden="1">{#N/A,#N/A,FALSE,"단축1";#N/A,#N/A,FALSE,"단축2";#N/A,#N/A,FALSE,"단축3";#N/A,#N/A,FALSE,"장축";#N/A,#N/A,FALSE,"4WD"}</definedName>
    <definedName name="그리스" localSheetId="0" hidden="1">{#N/A,#N/A,FALSE,"단축1";#N/A,#N/A,FALSE,"단축2";#N/A,#N/A,FALSE,"단축3";#N/A,#N/A,FALSE,"장축";#N/A,#N/A,FALSE,"4WD"}</definedName>
    <definedName name="그리스" hidden="1">{#N/A,#N/A,FALSE,"단축1";#N/A,#N/A,FALSE,"단축2";#N/A,#N/A,FALSE,"단축3";#N/A,#N/A,FALSE,"장축";#N/A,#N/A,FALSE,"4WD"}</definedName>
    <definedName name="그리스알ㄴ" localSheetId="0" hidden="1">{#N/A,#N/A,FALSE,"단축1";#N/A,#N/A,FALSE,"단축2";#N/A,#N/A,FALSE,"단축3";#N/A,#N/A,FALSE,"장축";#N/A,#N/A,FALSE,"4WD"}</definedName>
    <definedName name="그리스알ㄴ" hidden="1">{#N/A,#N/A,FALSE,"단축1";#N/A,#N/A,FALSE,"단축2";#N/A,#N/A,FALSE,"단축3";#N/A,#N/A,FALSE,"장축";#N/A,#N/A,FALSE,"4WD"}</definedName>
    <definedName name="근거2" localSheetId="0" hidden="1">{#N/A,#N/A,FALSE,"단축1";#N/A,#N/A,FALSE,"단축2";#N/A,#N/A,FALSE,"단축3";#N/A,#N/A,FALSE,"장축";#N/A,#N/A,FALSE,"4WD"}</definedName>
    <definedName name="근거2" hidden="1">{#N/A,#N/A,FALSE,"단축1";#N/A,#N/A,FALSE,"단축2";#N/A,#N/A,FALSE,"단축3";#N/A,#N/A,FALSE,"장축";#N/A,#N/A,FALSE,"4WD"}</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 localSheetId="0" hidden="1">{#N/A,#N/A,FALSE,"단축1";#N/A,#N/A,FALSE,"단축2";#N/A,#N/A,FALSE,"단축3";#N/A,#N/A,FALSE,"장축";#N/A,#N/A,FALSE,"4WD"}</definedName>
    <definedName name="금형" hidden="1">{#N/A,#N/A,FALSE,"단축1";#N/A,#N/A,FALSE,"단축2";#N/A,#N/A,FALSE,"단축3";#N/A,#N/A,FALSE,"장축";#N/A,#N/A,FALSE,"4WD"}</definedName>
    <definedName name="금형편성표" localSheetId="0" hidden="1">{#N/A,#N/A,FALSE,"단축1";#N/A,#N/A,FALSE,"단축2";#N/A,#N/A,FALSE,"단축3";#N/A,#N/A,FALSE,"장축";#N/A,#N/A,FALSE,"4WD"}</definedName>
    <definedName name="금형편성표" hidden="1">{#N/A,#N/A,FALSE,"단축1";#N/A,#N/A,FALSE,"단축2";#N/A,#N/A,FALSE,"단축3";#N/A,#N/A,FALSE,"장축";#N/A,#N/A,FALSE,"4WD"}</definedName>
    <definedName name="긔리르ㅡㅡㄴ알ㄴ" localSheetId="0" hidden="1">{#N/A,#N/A,FALSE,"단축1";#N/A,#N/A,FALSE,"단축2";#N/A,#N/A,FALSE,"단축3";#N/A,#N/A,FALSE,"장축";#N/A,#N/A,FALSE,"4WD"}</definedName>
    <definedName name="긔리르ㅡㅡㄴ알ㄴ" hidden="1">{#N/A,#N/A,FALSE,"단축1";#N/A,#N/A,FALSE,"단축2";#N/A,#N/A,FALSE,"단축3";#N/A,#N/A,FALSE,"장축";#N/A,#N/A,FALSE,"4WD"}</definedName>
    <definedName name="기" localSheetId="0" hidden="1">{#N/A,#N/A,FALSE,"단축1";#N/A,#N/A,FALSE,"단축2";#N/A,#N/A,FALSE,"단축3";#N/A,#N/A,FALSE,"장축";#N/A,#N/A,FALSE,"4WD"}</definedName>
    <definedName name="기" hidden="1">{#N/A,#N/A,FALSE,"단축1";#N/A,#N/A,FALSE,"단축2";#N/A,#N/A,FALSE,"단축3";#N/A,#N/A,FALSE,"장축";#N/A,#N/A,FALSE,"4WD"}</definedName>
    <definedName name="기관예산" localSheetId="0" hidden="1">{#N/A,#N/A,FALSE,"단축1";#N/A,#N/A,FALSE,"단축2";#N/A,#N/A,FALSE,"단축3";#N/A,#N/A,FALSE,"장축";#N/A,#N/A,FALSE,"4WD"}</definedName>
    <definedName name="기관예산" hidden="1">{#N/A,#N/A,FALSE,"단축1";#N/A,#N/A,FALSE,"단축2";#N/A,#N/A,FALSE,"단축3";#N/A,#N/A,FALSE,"장축";#N/A,#N/A,FALSE,"4WD"}</definedName>
    <definedName name="기상폐기물">'[1]5-4. Calorific&amp;Emission factor'!#REF!</definedName>
    <definedName name="기술용역" localSheetId="0" hidden="1">{#N/A,#N/A,FALSE,"단축1";#N/A,#N/A,FALSE,"단축2";#N/A,#N/A,FALSE,"단축3";#N/A,#N/A,FALSE,"장축";#N/A,#N/A,FALSE,"4WD"}</definedName>
    <definedName name="기술용역" hidden="1">{#N/A,#N/A,FALSE,"단축1";#N/A,#N/A,FALSE,"단축2";#N/A,#N/A,FALSE,"단축3";#N/A,#N/A,FALSE,"장축";#N/A,#N/A,FALSE,"4WD"}</definedName>
    <definedName name="기아차" localSheetId="0" hidden="1">{#N/A,#N/A,FALSE,"산학연 합동연구";#N/A,#N/A,FALSE,"96업무계획";#N/A,#N/A,FALSE,"96기술개발계획";#N/A,#N/A,FALSE,"인력양성";#N/A,#N/A,FALSE,"7. 원가절감계획";#N/A,#N/A,FALSE,"노무";#N/A,#N/A,FALSE,"업무계획";#N/A,#N/A,FALSE,"제목"}</definedName>
    <definedName name="기아차" hidden="1">{#N/A,#N/A,FALSE,"산학연 합동연구";#N/A,#N/A,FALSE,"96업무계획";#N/A,#N/A,FALSE,"96기술개발계획";#N/A,#N/A,FALSE,"인력양성";#N/A,#N/A,FALSE,"7. 원가절감계획";#N/A,#N/A,FALSE,"노무";#N/A,#N/A,FALSE,"업무계획";#N/A,#N/A,FALSE,"제목"}</definedName>
    <definedName name="기존차" localSheetId="0" hidden="1">{#N/A,#N/A,FALSE,"협조전";#N/A,#N/A,FALSE,"원가절감계획 ";#N/A,#N/A,FALSE,"항목별원가절감계획"}</definedName>
    <definedName name="기존차" hidden="1">{#N/A,#N/A,FALSE,"협조전";#N/A,#N/A,FALSE,"원가절감계획 ";#N/A,#N/A,FALSE,"항목별원가절감계획"}</definedName>
    <definedName name="기존차1" localSheetId="0" hidden="1">{#N/A,#N/A,FALSE,"협조전";#N/A,#N/A,FALSE,"원가절감계획 ";#N/A,#N/A,FALSE,"항목별원가절감계획"}</definedName>
    <definedName name="기존차1" hidden="1">{#N/A,#N/A,FALSE,"협조전";#N/A,#N/A,FALSE,"원가절감계획 ";#N/A,#N/A,FALSE,"항목별원가절감계획"}</definedName>
    <definedName name="기체연료연소">'[1]5-2. Emission Facility'!#REF!</definedName>
    <definedName name="기타온실가스사용">'[1]5-2. Emission Facility'!#REF!</definedName>
    <definedName name="김도윤" localSheetId="0" hidden="1">{#N/A,#N/A,TRUE,"Y생산";#N/A,#N/A,TRUE,"Y판매";#N/A,#N/A,TRUE,"Y총물량";#N/A,#N/A,TRUE,"Y능력";#N/A,#N/A,TRUE,"YKD"}</definedName>
    <definedName name="김도윤" hidden="1">{#N/A,#N/A,TRUE,"Y생산";#N/A,#N/A,TRUE,"Y판매";#N/A,#N/A,TRUE,"Y총물량";#N/A,#N/A,TRUE,"Y능력";#N/A,#N/A,TRUE,"YKD"}</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 localSheetId="0" hidden="1">{#N/A,#N/A,FALSE,"단축1";#N/A,#N/A,FALSE,"단축2";#N/A,#N/A,FALSE,"단축3";#N/A,#N/A,FALSE,"장축";#N/A,#N/A,FALSE,"4WD"}</definedName>
    <definedName name="김영" hidden="1">{#N/A,#N/A,FALSE,"단축1";#N/A,#N/A,FALSE,"단축2";#N/A,#N/A,FALSE,"단축3";#N/A,#N/A,FALSE,"장축";#N/A,#N/A,FALSE,"4WD"}</definedName>
    <definedName name="김종경" localSheetId="0" hidden="1">{#N/A,#N/A,FALSE,"단축1";#N/A,#N/A,FALSE,"단축2";#N/A,#N/A,FALSE,"단축3";#N/A,#N/A,FALSE,"장축";#N/A,#N/A,FALSE,"4WD"}</definedName>
    <definedName name="김종경" hidden="1">{#N/A,#N/A,FALSE,"단축1";#N/A,#N/A,FALSE,"단축2";#N/A,#N/A,FALSE,"단축3";#N/A,#N/A,FALSE,"장축";#N/A,#N/A,FALSE,"4WD"}</definedName>
    <definedName name="김차" localSheetId="0" hidden="1">{#N/A,#N/A,FALSE,"단축1";#N/A,#N/A,FALSE,"단축2";#N/A,#N/A,FALSE,"단축3";#N/A,#N/A,FALSE,"장축";#N/A,#N/A,FALSE,"4WD"}</definedName>
    <definedName name="김차" hidden="1">{#N/A,#N/A,FALSE,"단축1";#N/A,#N/A,FALSE,"단축2";#N/A,#N/A,FALSE,"단축3";#N/A,#N/A,FALSE,"장축";#N/A,#N/A,FALSE,"4WD"}</definedName>
    <definedName name="ㄴ" localSheetId="0" hidden="1">{#N/A,#N/A,FALSE,"단축1";#N/A,#N/A,FALSE,"단축2";#N/A,#N/A,FALSE,"단축3";#N/A,#N/A,FALSE,"장축";#N/A,#N/A,FALSE,"4WD"}</definedName>
    <definedName name="ㄴ" hidden="1">{#N/A,#N/A,FALSE,"단축1";#N/A,#N/A,FALSE,"단축2";#N/A,#N/A,FALSE,"단축3";#N/A,#N/A,FALSE,"장축";#N/A,#N/A,FALSE,"4WD"}</definedName>
    <definedName name="ㄴ1" localSheetId="0" hidden="1">{#N/A,#N/A,FALSE,"신규dep";#N/A,#N/A,FALSE,"신규dep-금형상각후";#N/A,#N/A,FALSE,"신규dep-연구비상각후";#N/A,#N/A,FALSE,"신규dep-기계,공구상각후"}</definedName>
    <definedName name="ㄴ1" hidden="1">{#N/A,#N/A,FALSE,"신규dep";#N/A,#N/A,FALSE,"신규dep-금형상각후";#N/A,#N/A,FALSE,"신규dep-연구비상각후";#N/A,#N/A,FALSE,"신규dep-기계,공구상각후"}</definedName>
    <definedName name="ㄴㄴ" localSheetId="0" hidden="1">{#N/A,#N/A,FALSE,"단축1";#N/A,#N/A,FALSE,"단축2";#N/A,#N/A,FALSE,"단축3";#N/A,#N/A,FALSE,"장축";#N/A,#N/A,FALSE,"4WD"}</definedName>
    <definedName name="ㄴㄴ" hidden="1">{#N/A,#N/A,FALSE,"단축1";#N/A,#N/A,FALSE,"단축2";#N/A,#N/A,FALSE,"단축3";#N/A,#N/A,FALSE,"장축";#N/A,#N/A,FALSE,"4WD"}</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ㄹ" localSheetId="0" hidden="1">{#N/A,#N/A,FALSE,"단축1";#N/A,#N/A,FALSE,"단축2";#N/A,#N/A,FALSE,"단축3";#N/A,#N/A,FALSE,"장축";#N/A,#N/A,FALSE,"4WD"}</definedName>
    <definedName name="ㄴㄴㄹ" hidden="1">{#N/A,#N/A,FALSE,"단축1";#N/A,#N/A,FALSE,"단축2";#N/A,#N/A,FALSE,"단축3";#N/A,#N/A,FALSE,"장축";#N/A,#N/A,FALSE,"4WD"}</definedName>
    <definedName name="ㄴㄷ더" localSheetId="0" hidden="1">{#N/A,#N/A,FALSE,"단축1";#N/A,#N/A,FALSE,"단축2";#N/A,#N/A,FALSE,"단축3";#N/A,#N/A,FALSE,"장축";#N/A,#N/A,FALSE,"4WD"}</definedName>
    <definedName name="ㄴㄷ더" hidden="1">{#N/A,#N/A,FALSE,"단축1";#N/A,#N/A,FALSE,"단축2";#N/A,#N/A,FALSE,"단축3";#N/A,#N/A,FALSE,"장축";#N/A,#N/A,FALSE,"4WD"}</definedName>
    <definedName name="ㄴㅇ" localSheetId="0" hidden="1">{#N/A,#N/A,FALSE,"단축1";#N/A,#N/A,FALSE,"단축2";#N/A,#N/A,FALSE,"단축3";#N/A,#N/A,FALSE,"장축";#N/A,#N/A,FALSE,"4WD"}</definedName>
    <definedName name="ㄴㅇ" hidden="1">{#N/A,#N/A,FALSE,"단축1";#N/A,#N/A,FALSE,"단축2";#N/A,#N/A,FALSE,"단축3";#N/A,#N/A,FALSE,"장축";#N/A,#N/A,FALSE,"4WD"}</definedName>
    <definedName name="ㄴㅇㄴ" localSheetId="0" hidden="1">{"'Sheet1'!$R$24:$V$24"}</definedName>
    <definedName name="ㄴㅇㄴ" hidden="1">{"'Sheet1'!$R$24:$V$24"}</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 localSheetId="0" hidden="1">{#N/A,#N/A,FALSE,"단축1";#N/A,#N/A,FALSE,"단축2";#N/A,#N/A,FALSE,"단축3";#N/A,#N/A,FALSE,"장축";#N/A,#N/A,FALSE,"4WD"}</definedName>
    <definedName name="ㄴㅇㄹ" hidden="1">{#N/A,#N/A,FALSE,"단축1";#N/A,#N/A,FALSE,"단축2";#N/A,#N/A,FALSE,"단축3";#N/A,#N/A,FALSE,"장축";#N/A,#N/A,FALSE,"4WD"}</definedName>
    <definedName name="ㄴㅇㄹㄹ" localSheetId="0" hidden="1">{#N/A,#N/A,FALSE,"단축1";#N/A,#N/A,FALSE,"단축2";#N/A,#N/A,FALSE,"단축3";#N/A,#N/A,FALSE,"장축";#N/A,#N/A,FALSE,"4WD"}</definedName>
    <definedName name="ㄴㅇㄹㄹ" hidden="1">{#N/A,#N/A,FALSE,"단축1";#N/A,#N/A,FALSE,"단축2";#N/A,#N/A,FALSE,"단축3";#N/A,#N/A,FALSE,"장축";#N/A,#N/A,FALSE,"4WD"}</definedName>
    <definedName name="ㄴㅋ" localSheetId="0" hidden="1">{#N/A,#N/A,FALSE,"단축1";#N/A,#N/A,FALSE,"단축2";#N/A,#N/A,FALSE,"단축3";#N/A,#N/A,FALSE,"장축";#N/A,#N/A,FALSE,"4WD"}</definedName>
    <definedName name="ㄴㅋ" hidden="1">{#N/A,#N/A,FALSE,"단축1";#N/A,#N/A,FALSE,"단축2";#N/A,#N/A,FALSE,"단축3";#N/A,#N/A,FALSE,"장축";#N/A,#N/A,FALSE,"4WD"}</definedName>
    <definedName name="나나" localSheetId="0" hidden="1">{#N/A,#N/A,FALSE,"단축1";#N/A,#N/A,FALSE,"단축2";#N/A,#N/A,FALSE,"단축3";#N/A,#N/A,FALSE,"장축";#N/A,#N/A,FALSE,"4WD"}</definedName>
    <definedName name="나나" hidden="1">{#N/A,#N/A,FALSE,"단축1";#N/A,#N/A,FALSE,"단축2";#N/A,#N/A,FALSE,"단축3";#N/A,#N/A,FALSE,"장축";#N/A,#N/A,FALSE,"4WD"}</definedName>
    <definedName name="네번" localSheetId="0" hidden="1">{#N/A,#N/A,FALSE,"단축1";#N/A,#N/A,FALSE,"단축2";#N/A,#N/A,FALSE,"단축3";#N/A,#N/A,FALSE,"장축";#N/A,#N/A,FALSE,"4WD"}</definedName>
    <definedName name="네번" hidden="1">{#N/A,#N/A,FALSE,"단축1";#N/A,#N/A,FALSE,"단축2";#N/A,#N/A,FALSE,"단축3";#N/A,#N/A,FALSE,"장축";#N/A,#N/A,FALSE,"4WD"}</definedName>
    <definedName name="년도" localSheetId="0" hidden="1">{#N/A,#N/A,FALSE,"단축1";#N/A,#N/A,FALSE,"단축2";#N/A,#N/A,FALSE,"단축3";#N/A,#N/A,FALSE,"장축";#N/A,#N/A,FALSE,"4WD"}</definedName>
    <definedName name="년도" hidden="1">{#N/A,#N/A,FALSE,"단축1";#N/A,#N/A,FALSE,"단축2";#N/A,#N/A,FALSE,"단축3";#N/A,#N/A,FALSE,"장축";#N/A,#N/A,FALSE,"4WD"}</definedName>
    <definedName name="노사" localSheetId="0" hidden="1">{#N/A,#N/A,FALSE,"표지";#N/A,#N/A,FALSE,"전제";#N/A,#N/A,FALSE,"손익-자 (2)";#N/A,#N/A,FALSE,"손익-자";#N/A,#N/A,FALSE,"손익-마 (2)";#N/A,#N/A,FALSE,"손익-마";#N/A,#N/A,FALSE,"총손최종"}</definedName>
    <definedName name="노사" hidden="1">{#N/A,#N/A,FALSE,"표지";#N/A,#N/A,FALSE,"전제";#N/A,#N/A,FALSE,"손익-자 (2)";#N/A,#N/A,FALSE,"손익-자";#N/A,#N/A,FALSE,"손익-마 (2)";#N/A,#N/A,FALSE,"손익-마";#N/A,#N/A,FALSE,"총손최종"}</definedName>
    <definedName name="니ㅣㄴ" localSheetId="0" hidden="1">{#N/A,#N/A,FALSE,"단축1";#N/A,#N/A,FALSE,"단축2";#N/A,#N/A,FALSE,"단축3";#N/A,#N/A,FALSE,"장축";#N/A,#N/A,FALSE,"4WD"}</definedName>
    <definedName name="니ㅣㄴ" hidden="1">{#N/A,#N/A,FALSE,"단축1";#N/A,#N/A,FALSE,"단축2";#N/A,#N/A,FALSE,"단축3";#N/A,#N/A,FALSE,"장축";#N/A,#N/A,FALSE,"4WD"}</definedName>
    <definedName name="닝니" localSheetId="0" hidden="1">{#N/A,#N/A,FALSE,"´UA";#N/A,#N/A,FALSE,"´UA";#N/A,#N/A,FALSE,"´UA";#N/A,#N/A,FALSE,"Aa";#N/A,#N/A,FALSE,"4WD"}</definedName>
    <definedName name="닝니" hidden="1">{#N/A,#N/A,FALSE,"´UA";#N/A,#N/A,FALSE,"´UA";#N/A,#N/A,FALSE,"´UA";#N/A,#N/A,FALSE,"Aa";#N/A,#N/A,FALSE,"4WD"}</definedName>
    <definedName name="ㄵㄷㄹ" localSheetId="0" hidden="1">{#N/A,#N/A,FALSE,"표지";#N/A,#N/A,FALSE,"전제";#N/A,#N/A,FALSE,"손익-자 (2)";#N/A,#N/A,FALSE,"손익-자";#N/A,#N/A,FALSE,"손익-마 (2)";#N/A,#N/A,FALSE,"손익-마";#N/A,#N/A,FALSE,"총손최종"}</definedName>
    <definedName name="ㄵㄷㄹ" hidden="1">{#N/A,#N/A,FALSE,"표지";#N/A,#N/A,FALSE,"전제";#N/A,#N/A,FALSE,"손익-자 (2)";#N/A,#N/A,FALSE,"손익-자";#N/A,#N/A,FALSE,"손익-마 (2)";#N/A,#N/A,FALSE,"손익-마";#N/A,#N/A,FALSE,"총손최종"}</definedName>
    <definedName name="ㄷ" localSheetId="0" hidden="1">{#N/A,#N/A,FALSE,"신규dep";#N/A,#N/A,FALSE,"신규dep-금형상각후";#N/A,#N/A,FALSE,"신규dep-연구비상각후";#N/A,#N/A,FALSE,"신규dep-기계,공구상각후"}</definedName>
    <definedName name="ㄷ" hidden="1">{#N/A,#N/A,FALSE,"신규dep";#N/A,#N/A,FALSE,"신규dep-금형상각후";#N/A,#N/A,FALSE,"신규dep-연구비상각후";#N/A,#N/A,FALSE,"신규dep-기계,공구상각후"}</definedName>
    <definedName name="ㄷㄳ" localSheetId="0" hidden="1">{#N/A,#N/A,FALSE,"단축1";#N/A,#N/A,FALSE,"단축2";#N/A,#N/A,FALSE,"단축3";#N/A,#N/A,FALSE,"장축";#N/A,#N/A,FALSE,"4WD"}</definedName>
    <definedName name="ㄷㄳ" hidden="1">{#N/A,#N/A,FALSE,"단축1";#N/A,#N/A,FALSE,"단축2";#N/A,#N/A,FALSE,"단축3";#N/A,#N/A,FALSE,"장축";#N/A,#N/A,FALSE,"4WD"}</definedName>
    <definedName name="ㄷㄷ" localSheetId="0" hidden="1">{#N/A,#N/A,FALSE,"협조전";#N/A,#N/A,FALSE,"원가절감계획 ";#N/A,#N/A,FALSE,"항목별원가절감계획"}</definedName>
    <definedName name="ㄷㄷ" hidden="1">{#N/A,#N/A,FALSE,"협조전";#N/A,#N/A,FALSE,"원가절감계획 ";#N/A,#N/A,FALSE,"항목별원가절감계획"}</definedName>
    <definedName name="ㄷㄷㄷ" localSheetId="0" hidden="1">{#N/A,#N/A,FALSE,"표지";#N/A,#N/A,FALSE,"전제";#N/A,#N/A,FALSE,"손익-자 (2)";#N/A,#N/A,FALSE,"손익-자";#N/A,#N/A,FALSE,"손익-마 (2)";#N/A,#N/A,FALSE,"손익-마";#N/A,#N/A,FALSE,"총손최종"}</definedName>
    <definedName name="ㄷㄷㄷ" hidden="1">{#N/A,#N/A,FALSE,"표지";#N/A,#N/A,FALSE,"전제";#N/A,#N/A,FALSE,"손익-자 (2)";#N/A,#N/A,FALSE,"손익-자";#N/A,#N/A,FALSE,"손익-마 (2)";#N/A,#N/A,FALSE,"손익-마";#N/A,#N/A,FALSE,"총손최종"}</definedName>
    <definedName name="ㄷㅇ" localSheetId="0" hidden="1">{#N/A,#N/A,TRUE,"Y생산";#N/A,#N/A,TRUE,"Y판매";#N/A,#N/A,TRUE,"Y총물량";#N/A,#N/A,TRUE,"Y능력";#N/A,#N/A,TRUE,"YKD"}</definedName>
    <definedName name="ㄷㅇ" hidden="1">{#N/A,#N/A,TRUE,"Y생산";#N/A,#N/A,TRUE,"Y판매";#N/A,#N/A,TRUE,"Y총물량";#N/A,#N/A,TRUE,"Y능력";#N/A,#N/A,TRUE,"YKD"}</definedName>
    <definedName name="ㄷㅇㅍ" localSheetId="0" hidden="1">{#N/A,#N/A,FALSE,"단축1";#N/A,#N/A,FALSE,"단축2";#N/A,#N/A,FALSE,"단축3";#N/A,#N/A,FALSE,"장축";#N/A,#N/A,FALSE,"4WD"}</definedName>
    <definedName name="ㄷㅇㅍ" hidden="1">{#N/A,#N/A,FALSE,"단축1";#N/A,#N/A,FALSE,"단축2";#N/A,#N/A,FALSE,"단축3";#N/A,#N/A,FALSE,"장축";#N/A,#N/A,FALSE,"4WD"}</definedName>
    <definedName name="ㄷㅈㄷㅈ" localSheetId="0" hidden="1">{#N/A,#N/A,FALSE,"단축1";#N/A,#N/A,FALSE,"단축2";#N/A,#N/A,FALSE,"단축3";#N/A,#N/A,FALSE,"장축";#N/A,#N/A,FALSE,"4WD"}</definedName>
    <definedName name="ㄷㅈㄷㅈ" hidden="1">{#N/A,#N/A,FALSE,"단축1";#N/A,#N/A,FALSE,"단축2";#N/A,#N/A,FALSE,"단축3";#N/A,#N/A,FALSE,"장축";#N/A,#N/A,FALSE,"4WD"}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기" localSheetId="0" hidden="1">{#N/A,#N/A,TRUE,"Y생산";#N/A,#N/A,TRUE,"Y판매";#N/A,#N/A,TRUE,"Y총물량";#N/A,#N/A,TRUE,"Y능력";#N/A,#N/A,TRUE,"YKD"}</definedName>
    <definedName name="단기" hidden="1">{#N/A,#N/A,TRUE,"Y생산";#N/A,#N/A,TRUE,"Y판매";#N/A,#N/A,TRUE,"Y총물량";#N/A,#N/A,TRUE,"Y능력";#N/A,#N/A,TRUE,"YKD"}</definedName>
    <definedName name="단기대여금" localSheetId="0" hidden="1">{#N/A,#N/A,TRUE,"Y생산";#N/A,#N/A,TRUE,"Y판매";#N/A,#N/A,TRUE,"Y총물량";#N/A,#N/A,TRUE,"Y능력";#N/A,#N/A,TRUE,"YKD"}</definedName>
    <definedName name="단기대여금" hidden="1">{#N/A,#N/A,TRUE,"Y생산";#N/A,#N/A,TRUE,"Y판매";#N/A,#N/A,TRUE,"Y총물량";#N/A,#N/A,TRUE,"Y능력";#N/A,#N/A,TRUE,"YKD"}</definedName>
    <definedName name="단조편성표" localSheetId="0" hidden="1">{#N/A,#N/A,FALSE,"단축1";#N/A,#N/A,FALSE,"단축2";#N/A,#N/A,FALSE,"단축3";#N/A,#N/A,FALSE,"장축";#N/A,#N/A,FALSE,"4WD"}</definedName>
    <definedName name="단조편성표" hidden="1">{#N/A,#N/A,FALSE,"단축1";#N/A,#N/A,FALSE,"단축2";#N/A,#N/A,FALSE,"단축3";#N/A,#N/A,FALSE,"장축";#N/A,#N/A,FALSE,"4WD"}</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방총괄" localSheetId="0" hidden="1">{#N/A,#N/A,FALSE,"단축1";#N/A,#N/A,FALSE,"단축2";#N/A,#N/A,FALSE,"단축3";#N/A,#N/A,FALSE,"장축";#N/A,#N/A,FALSE,"4WD"}</definedName>
    <definedName name="대방총괄" hidden="1">{#N/A,#N/A,FALSE,"단축1";#N/A,#N/A,FALSE,"단축2";#N/A,#N/A,FALSE,"단축3";#N/A,#N/A,FALSE,"장축";#N/A,#N/A,FALSE,"4WD"}</definedName>
    <definedName name="대상" localSheetId="0" hidden="1">{#N/A,#N/A,FALSE,"표지";#N/A,#N/A,FALSE,"을지1";#N/A,#N/A,FALSE,"일정1";#N/A,#N/A,FALSE,"일정2";#N/A,#N/A,FALSE,"11T-C";#N/A,#N/A,FALSE,"15T-D";#N/A,#N/A,FALSE,"판매현황";#N/A,#N/A,FALSE,"업무 FLOW"}</definedName>
    <definedName name="대상" hidden="1">{#N/A,#N/A,FALSE,"표지";#N/A,#N/A,FALSE,"을지1";#N/A,#N/A,FALSE,"일정1";#N/A,#N/A,FALSE,"일정2";#N/A,#N/A,FALSE,"11T-C";#N/A,#N/A,FALSE,"15T-D";#N/A,#N/A,FALSE,"판매현황";#N/A,#N/A,FALSE,"업무 FLOW"}</definedName>
    <definedName name="덕양" localSheetId="0" hidden="1">{#N/A,#N/A,FALSE,"해외크레임";#N/A,#N/A,FALSE,"ACCENT현황";#N/A,#N/A,FALSE,"AVANTE";#N/A,#N/A,FALSE,"SONATA(3)";#N/A,#N/A,FALSE,"국내크레임"}</definedName>
    <definedName name="덕양" hidden="1">{#N/A,#N/A,FALSE,"해외크레임";#N/A,#N/A,FALSE,"ACCENT현황";#N/A,#N/A,FALSE,"AVANTE";#N/A,#N/A,FALSE,"SONATA(3)";#N/A,#N/A,FALSE,"국내크레임"}</definedName>
    <definedName name="뎓ㄹㅊㅍ투ㅜㅍ" localSheetId="0" hidden="1">{#N/A,#N/A,FALSE,"단축1";#N/A,#N/A,FALSE,"단축2";#N/A,#N/A,FALSE,"단축3";#N/A,#N/A,FALSE,"장축";#N/A,#N/A,FALSE,"4WD"}</definedName>
    <definedName name="뎓ㄹㅊㅍ투ㅜㅍ" hidden="1">{#N/A,#N/A,FALSE,"단축1";#N/A,#N/A,FALSE,"단축2";#N/A,#N/A,FALSE,"단축3";#N/A,#N/A,FALSE,"장축";#N/A,#N/A,FALSE,"4WD"}</definedName>
    <definedName name="돌" localSheetId="0" hidden="1">{#N/A,#N/A,FALSE,"단축1";#N/A,#N/A,FALSE,"단축2";#N/A,#N/A,FALSE,"단축3";#N/A,#N/A,FALSE,"장축";#N/A,#N/A,FALSE,"4WD"}</definedName>
    <definedName name="돌" hidden="1">{#N/A,#N/A,FALSE,"단축1";#N/A,#N/A,FALSE,"단축2";#N/A,#N/A,FALSE,"단축3";#N/A,#N/A,FALSE,"장축";#N/A,#N/A,FALSE,"4WD"}</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시" localSheetId="0" hidden="1">{#N/A,#N/A,FALSE,"단축1";#N/A,#N/A,FALSE,"단축2";#N/A,#N/A,FALSE,"단축3";#N/A,#N/A,FALSE,"장축";#N/A,#N/A,FALSE,"4WD"}</definedName>
    <definedName name="동시" hidden="1">{#N/A,#N/A,FALSE,"단축1";#N/A,#N/A,FALSE,"단축2";#N/A,#N/A,FALSE,"단축3";#N/A,#N/A,FALSE,"장축";#N/A,#N/A,FALSE,"4WD"}</definedName>
    <definedName name="동시투자" localSheetId="0" hidden="1">{#N/A,#N/A,FALSE,"단축1";#N/A,#N/A,FALSE,"단축2";#N/A,#N/A,FALSE,"단축3";#N/A,#N/A,FALSE,"장축";#N/A,#N/A,FALSE,"4WD"}</definedName>
    <definedName name="동시투자" hidden="1">{#N/A,#N/A,FALSE,"단축1";#N/A,#N/A,FALSE,"단축2";#N/A,#N/A,FALSE,"단축3";#N/A,#N/A,FALSE,"장축";#N/A,#N/A,FALSE,"4WD"}</definedName>
    <definedName name="동시투자MIP" localSheetId="0" hidden="1">{#N/A,#N/A,FALSE,"단축1";#N/A,#N/A,FALSE,"단축2";#N/A,#N/A,FALSE,"단축3";#N/A,#N/A,FALSE,"장축";#N/A,#N/A,FALSE,"4WD"}</definedName>
    <definedName name="동시투자MIP" hidden="1">{#N/A,#N/A,FALSE,"단축1";#N/A,#N/A,FALSE,"단축2";#N/A,#N/A,FALSE,"단축3";#N/A,#N/A,FALSE,"장축";#N/A,#N/A,FALSE,"4WD"}</definedName>
    <definedName name="동시투자투자비" localSheetId="0" hidden="1">{#N/A,#N/A,FALSE,"단축1";#N/A,#N/A,FALSE,"단축2";#N/A,#N/A,FALSE,"단축3";#N/A,#N/A,FALSE,"장축";#N/A,#N/A,FALSE,"4WD"}</definedName>
    <definedName name="동시투자투자비" hidden="1">{#N/A,#N/A,FALSE,"단축1";#N/A,#N/A,FALSE,"단축2";#N/A,#N/A,FALSE,"단축3";#N/A,#N/A,FALSE,"장축";#N/A,#N/A,FALSE,"4WD"}</definedName>
    <definedName name="동익산" localSheetId="0" hidden="1">{#N/A,#N/A,FALSE,"표지";#N/A,#N/A,FALSE,"을지1";#N/A,#N/A,FALSE,"일정1";#N/A,#N/A,FALSE,"일정2";#N/A,#N/A,FALSE,"11T-C";#N/A,#N/A,FALSE,"15T-D";#N/A,#N/A,FALSE,"판매현황";#N/A,#N/A,FALSE,"업무 FLOW"}</definedName>
    <definedName name="동익산" hidden="1">{#N/A,#N/A,FALSE,"표지";#N/A,#N/A,FALSE,"을지1";#N/A,#N/A,FALSE,"일정1";#N/A,#N/A,FALSE,"일정2";#N/A,#N/A,FALSE,"11T-C";#N/A,#N/A,FALSE,"15T-D";#N/A,#N/A,FALSE,"판매현황";#N/A,#N/A,FALSE,"업무 FLOW"}</definedName>
    <definedName name="동향향향" localSheetId="0" hidden="1">{#N/A,#N/A,FALSE,"단축1";#N/A,#N/A,FALSE,"단축2";#N/A,#N/A,FALSE,"단축3";#N/A,#N/A,FALSE,"장축";#N/A,#N/A,FALSE,"4WD"}</definedName>
    <definedName name="동향향향" hidden="1">{#N/A,#N/A,FALSE,"단축1";#N/A,#N/A,FALSE,"단축2";#N/A,#N/A,FALSE,"단축3";#N/A,#N/A,FALSE,"장축";#N/A,#N/A,FALSE,"4WD"}</definedName>
    <definedName name="두번" localSheetId="0" hidden="1">{#N/A,#N/A,FALSE,"단축1";#N/A,#N/A,FALSE,"단축2";#N/A,#N/A,FALSE,"단축3";#N/A,#N/A,FALSE,"장축";#N/A,#N/A,FALSE,"4WD"}</definedName>
    <definedName name="두번" hidden="1">{#N/A,#N/A,FALSE,"단축1";#N/A,#N/A,FALSE,"단축2";#N/A,#N/A,FALSE,"단축3";#N/A,#N/A,FALSE,"장축";#N/A,#N/A,FALSE,"4WD"}</definedName>
    <definedName name="등록0501" localSheetId="0" hidden="1">{#N/A,#N/A,FALSE,"단축1";#N/A,#N/A,FALSE,"단축2";#N/A,#N/A,FALSE,"단축3";#N/A,#N/A,FALSE,"장축";#N/A,#N/A,FALSE,"4WD"}</definedName>
    <definedName name="등록0501" hidden="1">{#N/A,#N/A,FALSE,"단축1";#N/A,#N/A,FALSE,"단축2";#N/A,#N/A,FALSE,"단축3";#N/A,#N/A,FALSE,"장축";#N/A,#N/A,FALSE,"4WD"}</definedName>
    <definedName name="ㄹ" localSheetId="0" hidden="1">{#N/A,#N/A,TRUE,"Y생산";#N/A,#N/A,TRUE,"Y판매";#N/A,#N/A,TRUE,"Y총물량";#N/A,#N/A,TRUE,"Y능력";#N/A,#N/A,TRUE,"YKD"}</definedName>
    <definedName name="ㄹ" hidden="1">{#N/A,#N/A,TRUE,"Y생산";#N/A,#N/A,TRUE,"Y판매";#N/A,#N/A,TRUE,"Y총물량";#N/A,#N/A,TRUE,"Y능력";#N/A,#N/A,TRUE,"YKD"}</definedName>
    <definedName name="ㄹㄹㄹ" localSheetId="0" hidden="1">{#N/A,#N/A,FALSE,"단축1";#N/A,#N/A,FALSE,"단축2";#N/A,#N/A,FALSE,"단축3";#N/A,#N/A,FALSE,"장축";#N/A,#N/A,FALSE,"4WD"}</definedName>
    <definedName name="ㄹㄹㄹ" hidden="1">{#N/A,#N/A,FALSE,"단축1";#N/A,#N/A,FALSE,"단축2";#N/A,#N/A,FALSE,"단축3";#N/A,#N/A,FALSE,"장축";#N/A,#N/A,FALSE,"4WD"}</definedName>
    <definedName name="ㄹㄹㄹㄹㄹ" hidden="1">#REF!</definedName>
    <definedName name="ㄹㄹㄹㄹㄺㄹㄹ" localSheetId="0" hidden="1">{#N/A,#N/A,FALSE,"단축1";#N/A,#N/A,FALSE,"단축2";#N/A,#N/A,FALSE,"단축3";#N/A,#N/A,FALSE,"장축";#N/A,#N/A,FALSE,"4WD"}</definedName>
    <definedName name="ㄹㄹㄹㄹㄺㄹㄹ" hidden="1">{#N/A,#N/A,FALSE,"단축1";#N/A,#N/A,FALSE,"단축2";#N/A,#N/A,FALSE,"단축3";#N/A,#N/A,FALSE,"장축";#N/A,#N/A,FALSE,"4WD"}</definedName>
    <definedName name="ㄹㄹㅇ" localSheetId="0" hidden="1">{#N/A,#N/A,FALSE,"단축1";#N/A,#N/A,FALSE,"단축2";#N/A,#N/A,FALSE,"단축3";#N/A,#N/A,FALSE,"장축";#N/A,#N/A,FALSE,"4WD"}</definedName>
    <definedName name="ㄹㄹㅇ" hidden="1">{#N/A,#N/A,FALSE,"단축1";#N/A,#N/A,FALSE,"단축2";#N/A,#N/A,FALSE,"단축3";#N/A,#N/A,FALSE,"장축";#N/A,#N/A,FALSE,"4WD"}</definedName>
    <definedName name="ㄹㄹ호ㅗ" localSheetId="0" hidden="1">{#N/A,#N/A,FALSE,"단축1";#N/A,#N/A,FALSE,"단축2";#N/A,#N/A,FALSE,"단축3";#N/A,#N/A,FALSE,"장축";#N/A,#N/A,FALSE,"4WD"}</definedName>
    <definedName name="ㄹㄹ호ㅗ" hidden="1">{#N/A,#N/A,FALSE,"단축1";#N/A,#N/A,FALSE,"단축2";#N/A,#N/A,FALSE,"단축3";#N/A,#N/A,FALSE,"장축";#N/A,#N/A,FALSE,"4WD"}</definedName>
    <definedName name="ㄹ먀ㅐㅕㅓㅣ" localSheetId="0" hidden="1">{#N/A,#N/A,FALSE,"단축1";#N/A,#N/A,FALSE,"단축2";#N/A,#N/A,FALSE,"단축3";#N/A,#N/A,FALSE,"장축";#N/A,#N/A,FALSE,"4WD"}</definedName>
    <definedName name="ㄹ먀ㅐㅕㅓㅣ" hidden="1">{#N/A,#N/A,FALSE,"단축1";#N/A,#N/A,FALSE,"단축2";#N/A,#N/A,FALSE,"단축3";#N/A,#N/A,FALSE,"장축";#N/A,#N/A,FALSE,"4WD"}</definedName>
    <definedName name="ㄹㅇ" localSheetId="0" hidden="1">{#N/A,#N/A,FALSE,"단축1";#N/A,#N/A,FALSE,"단축2";#N/A,#N/A,FALSE,"단축3";#N/A,#N/A,FALSE,"장축";#N/A,#N/A,FALSE,"4WD"}</definedName>
    <definedName name="ㄹㅇ" hidden="1">{#N/A,#N/A,FALSE,"단축1";#N/A,#N/A,FALSE,"단축2";#N/A,#N/A,FALSE,"단축3";#N/A,#N/A,FALSE,"장축";#N/A,#N/A,FALSE,"4WD"}</definedName>
    <definedName name="ㄹㅇㄹㄴㅇㅁ" localSheetId="0" hidden="1">{#N/A,#N/A,FALSE,"단축1";#N/A,#N/A,FALSE,"단축2";#N/A,#N/A,FALSE,"단축3";#N/A,#N/A,FALSE,"장축";#N/A,#N/A,FALSE,"4WD"}</definedName>
    <definedName name="ㄹㅇㄹㄴㅇㅁ" hidden="1">{#N/A,#N/A,FALSE,"단축1";#N/A,#N/A,FALSE,"단축2";#N/A,#N/A,FALSE,"단축3";#N/A,#N/A,FALSE,"장축";#N/A,#N/A,FALSE,"4WD"}</definedName>
    <definedName name="ㄹ헣러화ㅏㅓㅘㅓ" localSheetId="0" hidden="1">{#N/A,#N/A,FALSE,"신규dep";#N/A,#N/A,FALSE,"신규dep-금형상각후";#N/A,#N/A,FALSE,"신규dep-연구비상각후";#N/A,#N/A,FALSE,"신규dep-기계,공구상각후"}</definedName>
    <definedName name="ㄹ헣러화ㅏㅓㅘㅓ" hidden="1">{#N/A,#N/A,FALSE,"신규dep";#N/A,#N/A,FALSE,"신규dep-금형상각후";#N/A,#N/A,FALSE,"신규dep-연구비상각후";#N/A,#N/A,FALSE,"신규dep-기계,공구상각후"}</definedName>
    <definedName name="ㄹ히" localSheetId="0" hidden="1">{#N/A,#N/A,TRUE,"Y생산";#N/A,#N/A,TRUE,"Y판매";#N/A,#N/A,TRUE,"Y총물량";#N/A,#N/A,TRUE,"Y능력";#N/A,#N/A,TRUE,"YKD"}</definedName>
    <definedName name="ㄹ히" hidden="1">{#N/A,#N/A,TRUE,"Y생산";#N/A,#N/A,TRUE,"Y판매";#N/A,#N/A,TRUE,"Y총물량";#N/A,#N/A,TRUE,"Y능력";#N/A,#N/A,TRUE,"YKD"}</definedName>
    <definedName name="라" localSheetId="0" hidden="1">{#N/A,#N/A,FALSE,"표지";#N/A,#N/A,FALSE,"전제";#N/A,#N/A,FALSE,"손익-자 (2)";#N/A,#N/A,FALSE,"손익-자";#N/A,#N/A,FALSE,"손익-마 (2)";#N/A,#N/A,FALSE,"손익-마";#N/A,#N/A,FALSE,"총손최종"}</definedName>
    <definedName name="라" hidden="1">{#N/A,#N/A,FALSE,"표지";#N/A,#N/A,FALSE,"전제";#N/A,#N/A,FALSE,"손익-자 (2)";#N/A,#N/A,FALSE,"손익-자";#N/A,#N/A,FALSE,"손익-마 (2)";#N/A,#N/A,FALSE,"손익-마";#N/A,#N/A,FALSE,"총손최종"}</definedName>
    <definedName name="라나ㅓ린" localSheetId="0" hidden="1">{#N/A,#N/A,FALSE,"단축1";#N/A,#N/A,FALSE,"단축2";#N/A,#N/A,FALSE,"단축3";#N/A,#N/A,FALSE,"장축";#N/A,#N/A,FALSE,"4WD"}</definedName>
    <definedName name="라나ㅓ린" hidden="1">{#N/A,#N/A,FALSE,"단축1";#N/A,#N/A,FALSE,"단축2";#N/A,#N/A,FALSE,"단축3";#N/A,#N/A,FALSE,"장축";#N/A,#N/A,FALSE,"4WD"}</definedName>
    <definedName name="라어아" localSheetId="0" hidden="1">{#N/A,#N/A,FALSE,"단축1";#N/A,#N/A,FALSE,"단축2";#N/A,#N/A,FALSE,"단축3";#N/A,#N/A,FALSE,"장축";#N/A,#N/A,FALSE,"4WD"}</definedName>
    <definedName name="라어아" hidden="1">{#N/A,#N/A,FALSE,"단축1";#N/A,#N/A,FALSE,"단축2";#N/A,#N/A,FALSE,"단축3";#N/A,#N/A,FALSE,"장축";#N/A,#N/A,FALSE,"4WD"}</definedName>
    <definedName name="러" localSheetId="0" hidden="1">{#N/A,#N/A,FALSE,"단축1";#N/A,#N/A,FALSE,"단축2";#N/A,#N/A,FALSE,"단축3";#N/A,#N/A,FALSE,"장축";#N/A,#N/A,FALSE,"4WD"}</definedName>
    <definedName name="러" hidden="1">{#N/A,#N/A,FALSE,"단축1";#N/A,#N/A,FALSE,"단축2";#N/A,#N/A,FALSE,"단축3";#N/A,#N/A,FALSE,"장축";#N/A,#N/A,FALSE,"4WD"}</definedName>
    <definedName name="런다운" localSheetId="0" hidden="1">{#N/A,#N/A,FALSE,"단축1";#N/A,#N/A,FALSE,"단축2";#N/A,#N/A,FALSE,"단축3";#N/A,#N/A,FALSE,"장축";#N/A,#N/A,FALSE,"4WD"}</definedName>
    <definedName name="런다운" hidden="1">{#N/A,#N/A,FALSE,"단축1";#N/A,#N/A,FALSE,"단축2";#N/A,#N/A,FALSE,"단축3";#N/A,#N/A,FALSE,"장축";#N/A,#N/A,FALSE,"4WD"}</definedName>
    <definedName name="런다운이다런다운" localSheetId="0" hidden="1">{#N/A,#N/A,FALSE,"단축1";#N/A,#N/A,FALSE,"단축2";#N/A,#N/A,FALSE,"단축3";#N/A,#N/A,FALSE,"장축";#N/A,#N/A,FALSE,"4WD"}</definedName>
    <definedName name="런다운이다런다운" hidden="1">{#N/A,#N/A,FALSE,"단축1";#N/A,#N/A,FALSE,"단축2";#N/A,#N/A,FALSE,"단축3";#N/A,#N/A,FALSE,"장축";#N/A,#N/A,FALSE,"4WD"}</definedName>
    <definedName name="럴런러널" localSheetId="0" hidden="1">{#N/A,#N/A,FALSE,"단축1";#N/A,#N/A,FALSE,"단축2";#N/A,#N/A,FALSE,"단축3";#N/A,#N/A,FALSE,"장축";#N/A,#N/A,FALSE,"4WD"}</definedName>
    <definedName name="럴런러널" hidden="1">{#N/A,#N/A,FALSE,"단축1";#N/A,#N/A,FALSE,"단축2";#N/A,#N/A,FALSE,"단축3";#N/A,#N/A,FALSE,"장축";#N/A,#N/A,FALSE,"4WD"}</definedName>
    <definedName name="레이아웃" localSheetId="0" hidden="1">{#N/A,#N/A,FALSE,"단축1";#N/A,#N/A,FALSE,"단축2";#N/A,#N/A,FALSE,"단축3";#N/A,#N/A,FALSE,"장축";#N/A,#N/A,FALSE,"4WD"}</definedName>
    <definedName name="레이아웃" hidden="1">{#N/A,#N/A,FALSE,"단축1";#N/A,#N/A,FALSE,"단축2";#N/A,#N/A,FALSE,"단축3";#N/A,#N/A,FALSE,"장축";#N/A,#N/A,FALSE,"4WD"}</definedName>
    <definedName name="로커망러ㅏ" localSheetId="0" hidden="1">{#N/A,#N/A,FALSE,"단축1";#N/A,#N/A,FALSE,"단축2";#N/A,#N/A,FALSE,"단축3";#N/A,#N/A,FALSE,"장축";#N/A,#N/A,FALSE,"4WD"}</definedName>
    <definedName name="로커망러ㅏ"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료어ㅓ" localSheetId="0" hidden="1">{#N/A,#N/A,FALSE,"신규dep";#N/A,#N/A,FALSE,"신규dep-금형상각후";#N/A,#N/A,FALSE,"신규dep-연구비상각후";#N/A,#N/A,FALSE,"신규dep-기계,공구상각후"}</definedName>
    <definedName name="료어ㅓ" hidden="1">{#N/A,#N/A,FALSE,"신규dep";#N/A,#N/A,FALSE,"신규dep-금형상각후";#N/A,#N/A,FALSE,"신규dep-연구비상각후";#N/A,#N/A,FALSE,"신규dep-기계,공구상각후"}</definedName>
    <definedName name="르기리" localSheetId="0" hidden="1">{#N/A,#N/A,FALSE,"단축1";#N/A,#N/A,FALSE,"단축2";#N/A,#N/A,FALSE,"단축3";#N/A,#N/A,FALSE,"장축";#N/A,#N/A,FALSE,"4WD"}</definedName>
    <definedName name="르기리"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리베로" localSheetId="0" hidden="1">{#N/A,#N/A,FALSE,"단축1";#N/A,#N/A,FALSE,"단축2";#N/A,#N/A,FALSE,"단축3";#N/A,#N/A,FALSE,"장축";#N/A,#N/A,FALSE,"4WD"}</definedName>
    <definedName name="리베로" hidden="1">{#N/A,#N/A,FALSE,"단축1";#N/A,#N/A,FALSE,"단축2";#N/A,#N/A,FALSE,"단축3";#N/A,#N/A,FALSE,"장축";#N/A,#N/A,FALSE,"4WD"}</definedName>
    <definedName name="ㄻㄴ" localSheetId="0" hidden="1">{#N/A,#N/A,FALSE,"단축1";#N/A,#N/A,FALSE,"단축2";#N/A,#N/A,FALSE,"단축3";#N/A,#N/A,FALSE,"장축";#N/A,#N/A,FALSE,"4WD"}</definedName>
    <definedName name="ㄻㄴ" hidden="1">{#N/A,#N/A,FALSE,"단축1";#N/A,#N/A,FALSE,"단축2";#N/A,#N/A,FALSE,"단축3";#N/A,#N/A,FALSE,"장축";#N/A,#N/A,FALSE,"4WD"}</definedName>
    <definedName name="ㅀ" localSheetId="0" hidden="1">{#N/A,#N/A,FALSE,"단축1";#N/A,#N/A,FALSE,"단축2";#N/A,#N/A,FALSE,"단축3";#N/A,#N/A,FALSE,"장축";#N/A,#N/A,FALSE,"4WD"}</definedName>
    <definedName name="ㅀ" hidden="1">{#N/A,#N/A,FALSE,"단축1";#N/A,#N/A,FALSE,"단축2";#N/A,#N/A,FALSE,"단축3";#N/A,#N/A,FALSE,"장축";#N/A,#N/A,FALSE,"4WD"}</definedName>
    <definedName name="ㅀ소ㅓ쇼ㅓㅏ쇼ㅏ" localSheetId="0" hidden="1">{#N/A,#N/A,FALSE,"표지";#N/A,#N/A,FALSE,"전제";#N/A,#N/A,FALSE,"손익-자 (2)";#N/A,#N/A,FALSE,"손익-자";#N/A,#N/A,FALSE,"손익-마 (2)";#N/A,#N/A,FALSE,"손익-마";#N/A,#N/A,FALSE,"총손최종"}</definedName>
    <definedName name="ㅀ소ㅓ쇼ㅓㅏ쇼ㅏ" hidden="1">{#N/A,#N/A,FALSE,"표지";#N/A,#N/A,FALSE,"전제";#N/A,#N/A,FALSE,"손익-자 (2)";#N/A,#N/A,FALSE,"손익-자";#N/A,#N/A,FALSE,"손익-마 (2)";#N/A,#N/A,FALSE,"손익-마";#N/A,#N/A,FALSE,"총손최종"}</definedName>
    <definedName name="ㅀㅇ" hidden="1">#REF!</definedName>
    <definedName name="ㅁ" localSheetId="0" hidden="1">{#N/A,#N/A,FALSE,"단축1";#N/A,#N/A,FALSE,"단축2";#N/A,#N/A,FALSE,"단축3";#N/A,#N/A,FALSE,"장축";#N/A,#N/A,FALSE,"4WD"}</definedName>
    <definedName name="ㅁ" hidden="1">{#N/A,#N/A,FALSE,"단축1";#N/A,#N/A,FALSE,"단축2";#N/A,#N/A,FALSE,"단축3";#N/A,#N/A,FALSE,"장축";#N/A,#N/A,FALSE,"4WD"}</definedName>
    <definedName name="ㅁㄴㅇ" localSheetId="0" hidden="1">{#N/A,#N/A,FALSE,"단축1";#N/A,#N/A,FALSE,"단축2";#N/A,#N/A,FALSE,"단축3";#N/A,#N/A,FALSE,"장축";#N/A,#N/A,FALSE,"4WD"}</definedName>
    <definedName name="ㅁㄴㅇ"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ㅇㅁㄴㄹ" localSheetId="0" hidden="1">{#N/A,#N/A,FALSE,"단축1";#N/A,#N/A,FALSE,"단축2";#N/A,#N/A,FALSE,"단축3";#N/A,#N/A,FALSE,"장축";#N/A,#N/A,FALSE,"4WD"}</definedName>
    <definedName name="ㅁㄴㅇㄹㅇㅁㄴㄹ" hidden="1">{#N/A,#N/A,FALSE,"단축1";#N/A,#N/A,FALSE,"단축2";#N/A,#N/A,FALSE,"단축3";#N/A,#N/A,FALSE,"장축";#N/A,#N/A,FALSE,"4WD"}</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ㅁ" hidden="1">#REF!</definedName>
    <definedName name="ㅁㅁㅁ" hidden="1">#REF!</definedName>
    <definedName name="ㅁㅁㅁㅁㅁㅁ" localSheetId="0" hidden="1">{#N/A,#N/A,FALSE,"단축1";#N/A,#N/A,FALSE,"단축2";#N/A,#N/A,FALSE,"단축3";#N/A,#N/A,FALSE,"장축";#N/A,#N/A,FALSE,"4WD"}</definedName>
    <definedName name="ㅁㅁㅁㅁㅁㅁ"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ㅁㅂ" localSheetId="0" hidden="1">{#N/A,#N/A,FALSE,"표지";#N/A,#N/A,FALSE,"전제";#N/A,#N/A,FALSE,"손익-자 (2)";#N/A,#N/A,FALSE,"손익-자";#N/A,#N/A,FALSE,"손익-마 (2)";#N/A,#N/A,FALSE,"손익-마";#N/A,#N/A,FALSE,"총손최종"}</definedName>
    <definedName name="ㅁㅁㅂ" hidden="1">{#N/A,#N/A,FALSE,"표지";#N/A,#N/A,FALSE,"전제";#N/A,#N/A,FALSE,"손익-자 (2)";#N/A,#N/A,FALSE,"손익-자";#N/A,#N/A,FALSE,"손익-마 (2)";#N/A,#N/A,FALSE,"손익-마";#N/A,#N/A,FALSE,"총손최종"}</definedName>
    <definedName name="ㅁㅇ" localSheetId="0" hidden="1">{#N/A,#N/A,TRUE,"Y생산";#N/A,#N/A,TRUE,"Y판매";#N/A,#N/A,TRUE,"Y총물량";#N/A,#N/A,TRUE,"Y능력";#N/A,#N/A,TRUE,"YKD"}</definedName>
    <definedName name="ㅁㅇ" hidden="1">{#N/A,#N/A,TRUE,"Y생산";#N/A,#N/A,TRUE,"Y판매";#N/A,#N/A,TRUE,"Y총물량";#N/A,#N/A,TRUE,"Y능력";#N/A,#N/A,TRUE,"YKD"}</definedName>
    <definedName name="ㅁㅇㄴ" localSheetId="0" hidden="1">{#N/A,#N/A,FALSE,"단축1";#N/A,#N/A,FALSE,"단축2";#N/A,#N/A,FALSE,"단축3";#N/A,#N/A,FALSE,"장축";#N/A,#N/A,FALSE,"4WD"}</definedName>
    <definedName name="ㅁㅇㄴ" hidden="1">{#N/A,#N/A,FALSE,"단축1";#N/A,#N/A,FALSE,"단축2";#N/A,#N/A,FALSE,"단축3";#N/A,#N/A,FALSE,"장축";#N/A,#N/A,FALSE,"4WD"}</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ㅈㅂㅈㅂ" hidden="1">#REF!</definedName>
    <definedName name="ㅁㅊㅍㅇㄷ" localSheetId="0" hidden="1">{#N/A,#N/A,FALSE,"단축1";#N/A,#N/A,FALSE,"단축2";#N/A,#N/A,FALSE,"단축3";#N/A,#N/A,FALSE,"장축";#N/A,#N/A,FALSE,"4WD"}</definedName>
    <definedName name="ㅁㅊㅍㅇㄷ" hidden="1">{#N/A,#N/A,FALSE,"단축1";#N/A,#N/A,FALSE,"단축2";#N/A,#N/A,FALSE,"단축3";#N/A,#N/A,FALSE,"장축";#N/A,#N/A,FALSE,"4WD"}</definedName>
    <definedName name="마감" localSheetId="0" hidden="1">{#N/A,#N/A,TRUE,"Y생산";#N/A,#N/A,TRUE,"Y판매";#N/A,#N/A,TRUE,"Y총물량";#N/A,#N/A,TRUE,"Y능력";#N/A,#N/A,TRUE,"YKD"}</definedName>
    <definedName name="마감" hidden="1">{#N/A,#N/A,TRUE,"Y생산";#N/A,#N/A,TRUE,"Y판매";#N/A,#N/A,TRUE,"Y총물량";#N/A,#N/A,TRUE,"Y능력";#N/A,#N/A,TRUE,"YKD"}</definedName>
    <definedName name="마라ㅓㅏㄴ어라너아ㅣ러니" localSheetId="0" hidden="1">{#N/A,#N/A,FALSE,"단축1";#N/A,#N/A,FALSE,"단축2";#N/A,#N/A,FALSE,"단축3";#N/A,#N/A,FALSE,"장축";#N/A,#N/A,FALSE,"4WD"}</definedName>
    <definedName name="마라ㅓㅏㄴ어라너아ㅣ러니" hidden="1">{#N/A,#N/A,FALSE,"단축1";#N/A,#N/A,FALSE,"단축2";#N/A,#N/A,FALSE,"단축3";#N/A,#N/A,FALSE,"장축";#N/A,#N/A,FALSE,"4WD"}</definedName>
    <definedName name="마마" localSheetId="0" hidden="1">{#N/A,#N/A,FALSE,"표지";#N/A,#N/A,FALSE,"전제";#N/A,#N/A,FALSE,"손익-자 (2)";#N/A,#N/A,FALSE,"손익-자";#N/A,#N/A,FALSE,"손익-마 (2)";#N/A,#N/A,FALSE,"손익-마";#N/A,#N/A,FALSE,"총손최종"}</definedName>
    <definedName name="마마" hidden="1">{#N/A,#N/A,FALSE,"표지";#N/A,#N/A,FALSE,"전제";#N/A,#N/A,FALSE,"손익-자 (2)";#N/A,#N/A,FALSE,"손익-자";#N/A,#N/A,FALSE,"손익-마 (2)";#N/A,#N/A,FALSE,"손익-마";#N/A,#N/A,FALSE,"총손최종"}</definedName>
    <definedName name="말라" localSheetId="0" hidden="1">{#N/A,#N/A,FALSE,"단축1";#N/A,#N/A,FALSE,"단축2";#N/A,#N/A,FALSE,"단축3";#N/A,#N/A,FALSE,"장축";#N/A,#N/A,FALSE,"4WD"}</definedName>
    <definedName name="말라" hidden="1">{#N/A,#N/A,FALSE,"단축1";#N/A,#N/A,FALSE,"단축2";#N/A,#N/A,FALSE,"단축3";#N/A,#N/A,FALSE,"장축";#N/A,#N/A,FALSE,"4WD"}</definedName>
    <definedName name="말아아" localSheetId="0" hidden="1">{#N/A,#N/A,FALSE,"단축1";#N/A,#N/A,FALSE,"단축2";#N/A,#N/A,FALSE,"단축3";#N/A,#N/A,FALSE,"장축";#N/A,#N/A,FALSE,"4WD"}</definedName>
    <definedName name="말아아" hidden="1">{#N/A,#N/A,FALSE,"단축1";#N/A,#N/A,FALSE,"단축2";#N/A,#N/A,FALSE,"단축3";#N/A,#N/A,FALSE,"장축";#N/A,#N/A,FALSE,"4WD"}</definedName>
    <definedName name="말타" localSheetId="0" hidden="1">{#N/A,#N/A,FALSE,"단축1";#N/A,#N/A,FALSE,"단축2";#N/A,#N/A,FALSE,"단축3";#N/A,#N/A,FALSE,"장축";#N/A,#N/A,FALSE,"4WD"}</definedName>
    <definedName name="말타" hidden="1">{#N/A,#N/A,FALSE,"단축1";#N/A,#N/A,FALSE,"단축2";#N/A,#N/A,FALSE,"단축3";#N/A,#N/A,FALSE,"장축";#N/A,#N/A,FALSE,"4WD"}</definedName>
    <definedName name="말타ㅏ탙" localSheetId="0" hidden="1">{#N/A,#N/A,FALSE,"단축1";#N/A,#N/A,FALSE,"단축2";#N/A,#N/A,FALSE,"단축3";#N/A,#N/A,FALSE,"장축";#N/A,#N/A,FALSE,"4WD"}</definedName>
    <definedName name="말타ㅏ탙" hidden="1">{#N/A,#N/A,FALSE,"단축1";#N/A,#N/A,FALSE,"단축2";#N/A,#N/A,FALSE,"단축3";#N/A,#N/A,FALSE,"장축";#N/A,#N/A,FALSE,"4WD"}</definedName>
    <definedName name="매가추정" localSheetId="0" hidden="1">{#N/A,#N/A,FALSE,"단축1";#N/A,#N/A,FALSE,"단축2";#N/A,#N/A,FALSE,"단축3";#N/A,#N/A,FALSE,"장축";#N/A,#N/A,FALSE,"4WD"}</definedName>
    <definedName name="매가추정" hidden="1">{#N/A,#N/A,FALSE,"단축1";#N/A,#N/A,FALSE,"단축2";#N/A,#N/A,FALSE,"단축3";#N/A,#N/A,FALSE,"장축";#N/A,#N/A,FALSE,"4WD"}</definedName>
    <definedName name="매출이익">#REF!</definedName>
    <definedName name="머" localSheetId="0" hidden="1">{#N/A,#N/A,FALSE,"단축1";#N/A,#N/A,FALSE,"단축2";#N/A,#N/A,FALSE,"단축3";#N/A,#N/A,FALSE,"장축";#N/A,#N/A,FALSE,"4WD"}</definedName>
    <definedName name="머" hidden="1">{#N/A,#N/A,FALSE,"단축1";#N/A,#N/A,FALSE,"단축2";#N/A,#N/A,FALSE,"단축3";#N/A,#N/A,FALSE,"장축";#N/A,#N/A,FALSE,"4WD"}</definedName>
    <definedName name="모델별" localSheetId="0" hidden="1">{#N/A,#N/A,FALSE,"단축1";#N/A,#N/A,FALSE,"단축2";#N/A,#N/A,FALSE,"단축3";#N/A,#N/A,FALSE,"장축";#N/A,#N/A,FALSE,"4WD"}</definedName>
    <definedName name="모델별" hidden="1">{#N/A,#N/A,FALSE,"단축1";#N/A,#N/A,FALSE,"단축2";#N/A,#N/A,FALSE,"단축3";#N/A,#N/A,FALSE,"장축";#N/A,#N/A,FALSE,"4WD"}</definedName>
    <definedName name="모듈" localSheetId="0" hidden="1">{#N/A,#N/A,FALSE,"단축1";#N/A,#N/A,FALSE,"단축2";#N/A,#N/A,FALSE,"단축3";#N/A,#N/A,FALSE,"장축";#N/A,#N/A,FALSE,"4WD"}</definedName>
    <definedName name="모듈" hidden="1">{#N/A,#N/A,FALSE,"단축1";#N/A,#N/A,FALSE,"단축2";#N/A,#N/A,FALSE,"단축3";#N/A,#N/A,FALSE,"장축";#N/A,#N/A,FALSE,"4WD"}</definedName>
    <definedName name="모듈10" localSheetId="0" hidden="1">{#N/A,#N/A,FALSE,"단축1";#N/A,#N/A,FALSE,"단축2";#N/A,#N/A,FALSE,"단축3";#N/A,#N/A,FALSE,"장축";#N/A,#N/A,FALSE,"4WD"}</definedName>
    <definedName name="모듈10" hidden="1">{#N/A,#N/A,FALSE,"단축1";#N/A,#N/A,FALSE,"단축2";#N/A,#N/A,FALSE,"단축3";#N/A,#N/A,FALSE,"장축";#N/A,#N/A,FALSE,"4WD"}</definedName>
    <definedName name="모듈2" localSheetId="0" hidden="1">{#N/A,#N/A,FALSE,"단축1";#N/A,#N/A,FALSE,"단축2";#N/A,#N/A,FALSE,"단축3";#N/A,#N/A,FALSE,"장축";#N/A,#N/A,FALSE,"4WD"}</definedName>
    <definedName name="모듈2" hidden="1">{#N/A,#N/A,FALSE,"단축1";#N/A,#N/A,FALSE,"단축2";#N/A,#N/A,FALSE,"단축3";#N/A,#N/A,FALSE,"장축";#N/A,#N/A,FALSE,"4WD"}</definedName>
    <definedName name="모듈4" localSheetId="0" hidden="1">{#N/A,#N/A,FALSE,"단축1";#N/A,#N/A,FALSE,"단축2";#N/A,#N/A,FALSE,"단축3";#N/A,#N/A,FALSE,"장축";#N/A,#N/A,FALSE,"4WD"}</definedName>
    <definedName name="모듈4" hidden="1">{#N/A,#N/A,FALSE,"단축1";#N/A,#N/A,FALSE,"단축2";#N/A,#N/A,FALSE,"단축3";#N/A,#N/A,FALSE,"장축";#N/A,#N/A,FALSE,"4WD"}</definedName>
    <definedName name="모듈5" localSheetId="0" hidden="1">{#N/A,#N/A,FALSE,"단축1";#N/A,#N/A,FALSE,"단축2";#N/A,#N/A,FALSE,"단축3";#N/A,#N/A,FALSE,"장축";#N/A,#N/A,FALSE,"4WD"}</definedName>
    <definedName name="모듈5" hidden="1">{#N/A,#N/A,FALSE,"단축1";#N/A,#N/A,FALSE,"단축2";#N/A,#N/A,FALSE,"단축3";#N/A,#N/A,FALSE,"장축";#N/A,#N/A,FALSE,"4WD"}</definedName>
    <definedName name="모듈7" localSheetId="0" hidden="1">{#N/A,#N/A,FALSE,"단축1";#N/A,#N/A,FALSE,"단축2";#N/A,#N/A,FALSE,"단축3";#N/A,#N/A,FALSE,"장축";#N/A,#N/A,FALSE,"4WD"}</definedName>
    <definedName name="모듈7" hidden="1">{#N/A,#N/A,FALSE,"단축1";#N/A,#N/A,FALSE,"단축2";#N/A,#N/A,FALSE,"단축3";#N/A,#N/A,FALSE,"장축";#N/A,#N/A,FALSE,"4WD"}</definedName>
    <definedName name="모듈설계2" localSheetId="0" hidden="1">{#N/A,#N/A,FALSE,"단축1";#N/A,#N/A,FALSE,"단축2";#N/A,#N/A,FALSE,"단축3";#N/A,#N/A,FALSE,"장축";#N/A,#N/A,FALSE,"4WD"}</definedName>
    <definedName name="모듈설계2" hidden="1">{#N/A,#N/A,FALSE,"단축1";#N/A,#N/A,FALSE,"단축2";#N/A,#N/A,FALSE,"단축3";#N/A,#N/A,FALSE,"장축";#N/A,#N/A,FALSE,"4WD"}</definedName>
    <definedName name="모듈화" localSheetId="0" hidden="1">{#N/A,#N/A,FALSE,"단축1";#N/A,#N/A,FALSE,"단축2";#N/A,#N/A,FALSE,"단축3";#N/A,#N/A,FALSE,"장축";#N/A,#N/A,FALSE,"4WD"}</definedName>
    <definedName name="모듈화" hidden="1">{#N/A,#N/A,FALSE,"단축1";#N/A,#N/A,FALSE,"단축2";#N/A,#N/A,FALSE,"단축3";#N/A,#N/A,FALSE,"장축";#N/A,#N/A,FALSE,"4WD"}</definedName>
    <definedName name="모듈화2" localSheetId="0" hidden="1">{#N/A,#N/A,FALSE,"단축1";#N/A,#N/A,FALSE,"단축2";#N/A,#N/A,FALSE,"단축3";#N/A,#N/A,FALSE,"장축";#N/A,#N/A,FALSE,"4WD"}</definedName>
    <definedName name="모듈화2" hidden="1">{#N/A,#N/A,FALSE,"단축1";#N/A,#N/A,FALSE,"단축2";#N/A,#N/A,FALSE,"단축3";#N/A,#N/A,FALSE,"장축";#N/A,#N/A,FALSE,"4WD"}</definedName>
    <definedName name="모듈화3" localSheetId="0" hidden="1">{#N/A,#N/A,FALSE,"단축1";#N/A,#N/A,FALSE,"단축2";#N/A,#N/A,FALSE,"단축3";#N/A,#N/A,FALSE,"장축";#N/A,#N/A,FALSE,"4WD"}</definedName>
    <definedName name="모듈화3" hidden="1">{#N/A,#N/A,FALSE,"단축1";#N/A,#N/A,FALSE,"단축2";#N/A,#N/A,FALSE,"단축3";#N/A,#N/A,FALSE,"장축";#N/A,#N/A,FALSE,"4WD"}</definedName>
    <definedName name="모라아ㅏ나창ㄴ읻" localSheetId="0" hidden="1">{#N/A,#N/A,FALSE,"단축1";#N/A,#N/A,FALSE,"단축2";#N/A,#N/A,FALSE,"단축3";#N/A,#N/A,FALSE,"장축";#N/A,#N/A,FALSE,"4WD"}</definedName>
    <definedName name="모라아ㅏ나창ㄴ읻" hidden="1">{#N/A,#N/A,FALSE,"단축1";#N/A,#N/A,FALSE,"단축2";#N/A,#N/A,FALSE,"단축3";#N/A,#N/A,FALSE,"장축";#N/A,#N/A,FALSE,"4WD"}</definedName>
    <definedName name="목차" localSheetId="0" hidden="1">{#N/A,#N/A,FALSE,"신규dep";#N/A,#N/A,FALSE,"신규dep-금형상각후";#N/A,#N/A,FALSE,"신규dep-연구비상각후";#N/A,#N/A,FALSE,"신규dep-기계,공구상각후"}</definedName>
    <definedName name="목차" hidden="1">{#N/A,#N/A,FALSE,"신규dep";#N/A,#N/A,FALSE,"신규dep-금형상각후";#N/A,#N/A,FALSE,"신규dep-연구비상각후";#N/A,#N/A,FALSE,"신규dep-기계,공구상각후"}</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 localSheetId="0" hidden="1">{#N/A,#N/A,FALSE,"단축1";#N/A,#N/A,FALSE,"단축2";#N/A,#N/A,FALSE,"단축3";#N/A,#N/A,FALSE,"장축";#N/A,#N/A,FALSE,"4WD"}</definedName>
    <definedName name="몰" hidden="1">{#N/A,#N/A,FALSE,"단축1";#N/A,#N/A,FALSE,"단축2";#N/A,#N/A,FALSE,"단축3";#N/A,#N/A,FALSE,"장축";#N/A,#N/A,FALSE,"4WD"}</definedName>
    <definedName name="몰아ㅏ" localSheetId="0" hidden="1">{#N/A,#N/A,FALSE,"단축1";#N/A,#N/A,FALSE,"단축2";#N/A,#N/A,FALSE,"단축3";#N/A,#N/A,FALSE,"장축";#N/A,#N/A,FALSE,"4WD"}</definedName>
    <definedName name="몰아ㅏ" hidden="1">{#N/A,#N/A,FALSE,"단축1";#N/A,#N/A,FALSE,"단축2";#N/A,#N/A,FALSE,"단축3";#N/A,#N/A,FALSE,"장축";#N/A,#N/A,FALSE,"4WD"}</definedName>
    <definedName name="몰타" localSheetId="0" hidden="1">{#N/A,#N/A,FALSE,"단축1";#N/A,#N/A,FALSE,"단축2";#N/A,#N/A,FALSE,"단축3";#N/A,#N/A,FALSE,"장축";#N/A,#N/A,FALSE,"4WD"}</definedName>
    <definedName name="몰타" hidden="1">{#N/A,#N/A,FALSE,"단축1";#N/A,#N/A,FALSE,"단축2";#N/A,#N/A,FALSE,"단축3";#N/A,#N/A,FALSE,"장축";#N/A,#N/A,FALSE,"4WD"}</definedName>
    <definedName name="몰타뫁라코" localSheetId="0" hidden="1">{#N/A,#N/A,FALSE,"신규dep";#N/A,#N/A,FALSE,"신규dep-금형상각후";#N/A,#N/A,FALSE,"신규dep-연구비상각후";#N/A,#N/A,FALSE,"신규dep-기계,공구상각후"}</definedName>
    <definedName name="몰타뫁라코" hidden="1">{#N/A,#N/A,FALSE,"신규dep";#N/A,#N/A,FALSE,"신규dep-금형상각후";#N/A,#N/A,FALSE,"신규dep-연구비상각후";#N/A,#N/A,FALSE,"신규dep-기계,공구상각후"}</definedName>
    <definedName name="뫔뢈ㄴ오나안릴" localSheetId="0" hidden="1">{#N/A,#N/A,FALSE,"단축1";#N/A,#N/A,FALSE,"단축2";#N/A,#N/A,FALSE,"단축3";#N/A,#N/A,FALSE,"장축";#N/A,#N/A,FALSE,"4WD"}</definedName>
    <definedName name="뫔뢈ㄴ오나안릴" hidden="1">{#N/A,#N/A,FALSE,"단축1";#N/A,#N/A,FALSE,"단축2";#N/A,#N/A,FALSE,"단축3";#N/A,#N/A,FALSE,"장축";#N/A,#N/A,FALSE,"4WD"}</definedName>
    <definedName name="문1" localSheetId="0" hidden="1">{#N/A,#N/A,FALSE,"단축1";#N/A,#N/A,FALSE,"단축2";#N/A,#N/A,FALSE,"단축3";#N/A,#N/A,FALSE,"장축";#N/A,#N/A,FALSE,"4WD"}</definedName>
    <definedName name="문1" hidden="1">{#N/A,#N/A,FALSE,"단축1";#N/A,#N/A,FALSE,"단축2";#N/A,#N/A,FALSE,"단축3";#N/A,#N/A,FALSE,"장축";#N/A,#N/A,FALSE,"4WD"}</definedName>
    <definedName name="문제3" localSheetId="0" hidden="1">{#N/A,#N/A,FALSE,"단축1";#N/A,#N/A,FALSE,"단축2";#N/A,#N/A,FALSE,"단축3";#N/A,#N/A,FALSE,"장축";#N/A,#N/A,FALSE,"4WD"}</definedName>
    <definedName name="문제3" hidden="1">{#N/A,#N/A,FALSE,"단축1";#N/A,#N/A,FALSE,"단축2";#N/A,#N/A,FALSE,"단축3";#N/A,#N/A,FALSE,"장축";#N/A,#N/A,FALSE,"4WD"}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{#N/A,#N/A,FALSE,"단축1";#N/A,#N/A,FALSE,"단축2";#N/A,#N/A,FALSE,"단축3";#N/A,#N/A,FALSE,"장축";#N/A,#N/A,FALSE,"4WD"}</definedName>
    <definedName name="물류" hidden="1">{#N/A,#N/A,FALSE,"단축1";#N/A,#N/A,FALSE,"단축2";#N/A,#N/A,FALSE,"단축3";#N/A,#N/A,FALSE,"장축";#N/A,#N/A,FALSE,"4WD"}</definedName>
    <definedName name="물류비검토" localSheetId="0" hidden="1">{#N/A,#N/A,FALSE,"단축1";#N/A,#N/A,FALSE,"단축2";#N/A,#N/A,FALSE,"단축3";#N/A,#N/A,FALSE,"장축";#N/A,#N/A,FALSE,"4WD"}</definedName>
    <definedName name="물류비검토" hidden="1">{#N/A,#N/A,FALSE,"단축1";#N/A,#N/A,FALSE,"단축2";#N/A,#N/A,FALSE,"단축3";#N/A,#N/A,FALSE,"장축";#N/A,#N/A,FALSE,"4WD"}</definedName>
    <definedName name="물수" localSheetId="0" hidden="1">{#N/A,#N/A,TRUE,"Y생산";#N/A,#N/A,TRUE,"Y판매";#N/A,#N/A,TRUE,"Y총물량";#N/A,#N/A,TRUE,"Y능력";#N/A,#N/A,TRUE,"YKD"}</definedName>
    <definedName name="물수" hidden="1">{#N/A,#N/A,TRUE,"Y생산";#N/A,#N/A,TRUE,"Y판매";#N/A,#N/A,TRUE,"Y총물량";#N/A,#N/A,TRUE,"Y능력";#N/A,#N/A,TRUE,"YKD"}</definedName>
    <definedName name="뮬" localSheetId="0" hidden="1">{#N/A,#N/A,FALSE,"단축1";#N/A,#N/A,FALSE,"단축2";#N/A,#N/A,FALSE,"단축3";#N/A,#N/A,FALSE,"장축";#N/A,#N/A,FALSE,"4WD"}</definedName>
    <definedName name="뮬" hidden="1">{#N/A,#N/A,FALSE,"단축1";#N/A,#N/A,FALSE,"단축2";#N/A,#N/A,FALSE,"단축3";#N/A,#N/A,FALSE,"장축";#N/A,#N/A,FALSE,"4WD"}</definedName>
    <definedName name="미계획" localSheetId="0" hidden="1">{#N/A,#N/A,FALSE,"단축1";#N/A,#N/A,FALSE,"단축2";#N/A,#N/A,FALSE,"단축3";#N/A,#N/A,FALSE,"장축";#N/A,#N/A,FALSE,"4WD"}</definedName>
    <definedName name="미계획" hidden="1">{#N/A,#N/A,FALSE,"단축1";#N/A,#N/A,FALSE,"단축2";#N/A,#N/A,FALSE,"단축3";#N/A,#N/A,FALSE,"장축";#N/A,#N/A,FALSE,"4WD"}</definedName>
    <definedName name="미름충돌" localSheetId="0" hidden="1">{#N/A,#N/A,FALSE,"단축1";#N/A,#N/A,FALSE,"단축2";#N/A,#N/A,FALSE,"단축3";#N/A,#N/A,FALSE,"장축";#N/A,#N/A,FALSE,"4WD"}</definedName>
    <definedName name="미름충돌" hidden="1">{#N/A,#N/A,FALSE,"단축1";#N/A,#N/A,FALSE,"단축2";#N/A,#N/A,FALSE,"단축3";#N/A,#N/A,FALSE,"장축";#N/A,#N/A,FALSE,"4WD"}</definedName>
    <definedName name="ㅂ1" localSheetId="0" hidden="1">{#N/A,#N/A,FALSE,"신규dep";#N/A,#N/A,FALSE,"신규dep-금형상각후";#N/A,#N/A,FALSE,"신규dep-연구비상각후";#N/A,#N/A,FALSE,"신규dep-기계,공구상각후"}</definedName>
    <definedName name="ㅂ1" hidden="1">{#N/A,#N/A,FALSE,"신규dep";#N/A,#N/A,FALSE,"신규dep-금형상각후";#N/A,#N/A,FALSE,"신규dep-연구비상각후";#N/A,#N/A,FALSE,"신규dep-기계,공구상각후"}</definedName>
    <definedName name="ㅂ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localSheetId="0" hidden="1">{#N/A,#N/A,FALSE,"단축1";#N/A,#N/A,FALSE,"단축2";#N/A,#N/A,FALSE,"단축3";#N/A,#N/A,FALSE,"장축";#N/A,#N/A,FALSE,"4WD"}</definedName>
    <definedName name="ㅂㅈㄷㄱ" hidden="1">{#N/A,#N/A,FALSE,"단축1";#N/A,#N/A,FALSE,"단축2";#N/A,#N/A,FALSE,"단축3";#N/A,#N/A,FALSE,"장축";#N/A,#N/A,FALSE,"4WD"}</definedName>
    <definedName name="바나나" localSheetId="0" hidden="1">{#N/A,#N/A,FALSE,"표지";#N/A,#N/A,FALSE,"전제";#N/A,#N/A,FALSE,"손익-자 (2)";#N/A,#N/A,FALSE,"손익-자";#N/A,#N/A,FALSE,"손익-마 (2)";#N/A,#N/A,FALSE,"손익-마";#N/A,#N/A,FALSE,"총손최종"}</definedName>
    <definedName name="바나나" hidden="1">{#N/A,#N/A,FALSE,"표지";#N/A,#N/A,FALSE,"전제";#N/A,#N/A,FALSE,"손익-자 (2)";#N/A,#N/A,FALSE,"손익-자";#N/A,#N/A,FALSE,"손익-마 (2)";#N/A,#N/A,FALSE,"손익-마";#N/A,#N/A,FALSE,"총손최종"}</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 localSheetId="0"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재식">#REF!</definedName>
    <definedName name="받" localSheetId="0" hidden="1">{#N/A,#N/A,TRUE,"Y생산";#N/A,#N/A,TRUE,"Y판매";#N/A,#N/A,TRUE,"Y총물량";#N/A,#N/A,TRUE,"Y능력";#N/A,#N/A,TRUE,"YKD"}</definedName>
    <definedName name="받" hidden="1">{#N/A,#N/A,TRUE,"Y생산";#N/A,#N/A,TRUE,"Y판매";#N/A,#N/A,TRUE,"Y총물량";#N/A,#N/A,TRUE,"Y능력";#N/A,#N/A,TRUE,"YKD"}</definedName>
    <definedName name="방법론선택">[12]공정배출목록!$A$32:$A$33</definedName>
    <definedName name="방안" localSheetId="0" hidden="1">{#N/A,#N/A,FALSE,"단축1";#N/A,#N/A,FALSE,"단축2";#N/A,#N/A,FALSE,"단축3";#N/A,#N/A,FALSE,"장축";#N/A,#N/A,FALSE,"4WD"}</definedName>
    <definedName name="방안" hidden="1">{#N/A,#N/A,FALSE,"단축1";#N/A,#N/A,FALSE,"단축2";#N/A,#N/A,FALSE,"단축3";#N/A,#N/A,FALSE,"장축";#N/A,#N/A,FALSE,"4WD"}</definedName>
    <definedName name="배출시설">[14]명세서코드04_배출시설!$B$3:$B$112</definedName>
    <definedName name="배출활동">[14]명세서코드08_배출활동코드!$C$3:$C$52</definedName>
    <definedName name="버스" localSheetId="0" hidden="1">{#N/A,#N/A,FALSE,"단축1";#N/A,#N/A,FALSE,"단축2";#N/A,#N/A,FALSE,"단축3";#N/A,#N/A,FALSE,"장축";#N/A,#N/A,FALSE,"4WD"}</definedName>
    <definedName name="버스" hidden="1">{#N/A,#N/A,FALSE,"단축1";#N/A,#N/A,FALSE,"단축2";#N/A,#N/A,FALSE,"단축3";#N/A,#N/A,FALSE,"장축";#N/A,#N/A,FALSE,"4WD"}</definedName>
    <definedName name="버스고침" localSheetId="0" hidden="1">{#N/A,#N/A,FALSE,"품의서";#N/A,#N/A,FALSE,"전제";#N/A,#N/A,FALSE,"총손";#N/A,#N/A,FALSE,"손익"}</definedName>
    <definedName name="버스고침" hidden="1">{#N/A,#N/A,FALSE,"품의서";#N/A,#N/A,FALSE,"전제";#N/A,#N/A,FALSE,"총손";#N/A,#N/A,FALSE,"손익"}</definedName>
    <definedName name="베타타" localSheetId="0" hidden="1">{#N/A,#N/A,FALSE,"단축1";#N/A,#N/A,FALSE,"단축2";#N/A,#N/A,FALSE,"단축3";#N/A,#N/A,FALSE,"장축";#N/A,#N/A,FALSE,"4WD"}</definedName>
    <definedName name="베타타" hidden="1">{#N/A,#N/A,FALSE,"단축1";#N/A,#N/A,FALSE,"단축2";#N/A,#N/A,FALSE,"단축3";#N/A,#N/A,FALSE,"장축";#N/A,#N/A,FALSE,"4WD"}</definedName>
    <definedName name="변경" hidden="1">#REF!</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전" localSheetId="0" hidden="1">{#N/A,#N/A,FALSE,"단축1";#N/A,#N/A,FALSE,"단축2";#N/A,#N/A,FALSE,"단축3";#N/A,#N/A,FALSE,"장축";#N/A,#N/A,FALSE,"4WD"}</definedName>
    <definedName name="변경전" hidden="1">{#N/A,#N/A,FALSE,"단축1";#N/A,#N/A,FALSE,"단축2";#N/A,#N/A,FALSE,"단축3";#N/A,#N/A,FALSE,"장축";#N/A,#N/A,FALSE,"4WD"}</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별도투자비" localSheetId="0" hidden="1">{#N/A,#N/A,FALSE,"단축1";#N/A,#N/A,FALSE,"단축2";#N/A,#N/A,FALSE,"단축3";#N/A,#N/A,FALSE,"장축";#N/A,#N/A,FALSE,"4WD"}</definedName>
    <definedName name="별도투자비" hidden="1">{#N/A,#N/A,FALSE,"단축1";#N/A,#N/A,FALSE,"단축2";#N/A,#N/A,FALSE,"단축3";#N/A,#N/A,FALSE,"장축";#N/A,#N/A,FALSE,"4WD"}</definedName>
    <definedName name="별첨">#REF!</definedName>
    <definedName name="병" localSheetId="0" hidden="1">{#N/A,#N/A,FALSE,"단축1";#N/A,#N/A,FALSE,"단축2";#N/A,#N/A,FALSE,"단축3";#N/A,#N/A,FALSE,"장축";#N/A,#N/A,FALSE,"4WD"}</definedName>
    <definedName name="병" hidden="1">{#N/A,#N/A,FALSE,"단축1";#N/A,#N/A,FALSE,"단축2";#N/A,#N/A,FALSE,"단축3";#N/A,#N/A,FALSE,"장축";#N/A,#N/A,FALSE,"4WD"}</definedName>
    <definedName name="보고2" localSheetId="0" hidden="1">{#N/A,#N/A,FALSE,"신규dep";#N/A,#N/A,FALSE,"신규dep-금형상각후";#N/A,#N/A,FALSE,"신규dep-연구비상각후";#N/A,#N/A,FALSE,"신규dep-기계,공구상각후"}</definedName>
    <definedName name="보고2" hidden="1">{#N/A,#N/A,FALSE,"신규dep";#N/A,#N/A,FALSE,"신규dep-금형상각후";#N/A,#N/A,FALSE,"신규dep-연구비상각후";#N/A,#N/A,FALSE,"신규dep-기계,공구상각후"}</definedName>
    <definedName name="보고4" localSheetId="0" hidden="1">{#N/A,#N/A,FALSE,"품의서";#N/A,#N/A,FALSE,"전제";#N/A,#N/A,FALSE,"총손";#N/A,#N/A,FALSE,"손익"}</definedName>
    <definedName name="보고4" hidden="1">{#N/A,#N/A,FALSE,"품의서";#N/A,#N/A,FALSE,"전제";#N/A,#N/A,FALSE,"총손";#N/A,#N/A,FALSE,"손익"}</definedName>
    <definedName name="보전예산" localSheetId="0" hidden="1">{#N/A,#N/A,FALSE,"표지";#N/A,#N/A,FALSE,"전제";#N/A,#N/A,FALSE,"손익-자 (2)";#N/A,#N/A,FALSE,"손익-자";#N/A,#N/A,FALSE,"손익-마 (2)";#N/A,#N/A,FALSE,"손익-마";#N/A,#N/A,FALSE,"총손최종"}</definedName>
    <definedName name="보전예산" hidden="1">{#N/A,#N/A,FALSE,"표지";#N/A,#N/A,FALSE,"전제";#N/A,#N/A,FALSE,"손익-자 (2)";#N/A,#N/A,FALSE,"손익-자";#N/A,#N/A,FALSE,"손익-마 (2)";#N/A,#N/A,FALSE,"손익-마";#N/A,#N/A,FALSE,"총손최종"}</definedName>
    <definedName name="보조조조보ㅗ좌알" localSheetId="0" hidden="1">{#N/A,#N/A,FALSE,"단축1";#N/A,#N/A,FALSE,"단축2";#N/A,#N/A,FALSE,"단축3";#N/A,#N/A,FALSE,"장축";#N/A,#N/A,FALSE,"4WD"}</definedName>
    <definedName name="보조조조보ㅗ좌알" hidden="1">{#N/A,#N/A,FALSE,"단축1";#N/A,#N/A,FALSE,"단축2";#N/A,#N/A,FALSE,"단축3";#N/A,#N/A,FALSE,"장축";#N/A,#N/A,FALSE,"4WD"}</definedName>
    <definedName name="본사" localSheetId="0" hidden="1">{#N/A,#N/A,FALSE,"표지";#N/A,#N/A,FALSE,"을지1";#N/A,#N/A,FALSE,"일정1";#N/A,#N/A,FALSE,"일정2";#N/A,#N/A,FALSE,"11T-C";#N/A,#N/A,FALSE,"15T-D";#N/A,#N/A,FALSE,"판매현황";#N/A,#N/A,FALSE,"업무 FLOW"}</definedName>
    <definedName name="본사" hidden="1">{#N/A,#N/A,FALSE,"표지";#N/A,#N/A,FALSE,"을지1";#N/A,#N/A,FALSE,"일정1";#N/A,#N/A,FALSE,"일정2";#N/A,#N/A,FALSE,"11T-C";#N/A,#N/A,FALSE,"15T-D";#N/A,#N/A,FALSE,"판매현황";#N/A,#N/A,FALSE,"업무 FLOW"}</definedName>
    <definedName name="본사배포" localSheetId="0" hidden="1">{#N/A,#N/A,FALSE,"표지";#N/A,#N/A,FALSE,"전제";#N/A,#N/A,FALSE,"손익-자 (2)";#N/A,#N/A,FALSE,"손익-자";#N/A,#N/A,FALSE,"손익-마 (2)";#N/A,#N/A,FALSE,"손익-마";#N/A,#N/A,FALSE,"총손최종"}</definedName>
    <definedName name="본사배포" hidden="1">{#N/A,#N/A,FALSE,"표지";#N/A,#N/A,FALSE,"전제";#N/A,#N/A,FALSE,"손익-자 (2)";#N/A,#N/A,FALSE,"손익-자";#N/A,#N/A,FALSE,"손익-마 (2)";#N/A,#N/A,FALSE,"손익-마";#N/A,#N/A,FALSE,"총손최종"}</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문명단" localSheetId="0" hidden="1">{#N/A,#N/A,FALSE,"단축1";#N/A,#N/A,FALSE,"단축2";#N/A,#N/A,FALSE,"단축3";#N/A,#N/A,FALSE,"장축";#N/A,#N/A,FALSE,"4WD"}</definedName>
    <definedName name="부문명단" hidden="1">{#N/A,#N/A,FALSE,"단축1";#N/A,#N/A,FALSE,"단축2";#N/A,#N/A,FALSE,"단축3";#N/A,#N/A,FALSE,"장축";#N/A,#N/A,FALSE,"4WD"}</definedName>
    <definedName name="부조" localSheetId="0" hidden="1">{#N/A,#N/A,FALSE,"단축1";#N/A,#N/A,FALSE,"단축2";#N/A,#N/A,FALSE,"단축3";#N/A,#N/A,FALSE,"장축";#N/A,#N/A,FALSE,"4WD"}</definedName>
    <definedName name="부조" hidden="1">{#N/A,#N/A,FALSE,"단축1";#N/A,#N/A,FALSE,"단축2";#N/A,#N/A,FALSE,"단축3";#N/A,#N/A,FALSE,"장축";#N/A,#N/A,FALSE,"4WD"}</definedName>
    <definedName name="부품" localSheetId="0" hidden="1">{#N/A,#N/A,FALSE,"표지";#N/A,#N/A,FALSE,"전제";#N/A,#N/A,FALSE,"손익-자 (2)";#N/A,#N/A,FALSE,"손익-자";#N/A,#N/A,FALSE,"손익-마 (2)";#N/A,#N/A,FALSE,"손익-마";#N/A,#N/A,FALSE,"총손최종"}</definedName>
    <definedName name="부품" hidden="1">{#N/A,#N/A,FALSE,"표지";#N/A,#N/A,FALSE,"전제";#N/A,#N/A,FALSE,"손익-자 (2)";#N/A,#N/A,FALSE,"손익-자";#N/A,#N/A,FALSE,"손익-마 (2)";#N/A,#N/A,FALSE,"손익-마";#N/A,#N/A,FALSE,"총손최종"}</definedName>
    <definedName name="부품2" localSheetId="0" hidden="1">{#N/A,#N/A,FALSE,"신규dep";#N/A,#N/A,FALSE,"신규dep-금형상각후";#N/A,#N/A,FALSE,"신규dep-연구비상각후";#N/A,#N/A,FALSE,"신규dep-기계,공구상각후"}</definedName>
    <definedName name="부품2" hidden="1">{#N/A,#N/A,FALSE,"신규dep";#N/A,#N/A,FALSE,"신규dep-금형상각후";#N/A,#N/A,FALSE,"신규dep-연구비상각후";#N/A,#N/A,FALSE,"신규dep-기계,공구상각후"}</definedName>
    <definedName name="분기별" localSheetId="0" hidden="1">{#N/A,#N/A,FALSE,"단축1";#N/A,#N/A,FALSE,"단축2";#N/A,#N/A,FALSE,"단축3";#N/A,#N/A,FALSE,"장축";#N/A,#N/A,FALSE,"4WD"}</definedName>
    <definedName name="분기별" hidden="1">{#N/A,#N/A,FALSE,"단축1";#N/A,#N/A,FALSE,"단축2";#N/A,#N/A,FALSE,"단축3";#N/A,#N/A,FALSE,"장축";#N/A,#N/A,FALSE,"4WD"}</definedName>
    <definedName name="불량분석" localSheetId="0" hidden="1">{#N/A,#N/A,FALSE,"협조전";#N/A,#N/A,FALSE,"원가절감계획 ";#N/A,#N/A,FALSE,"항목별원가절감계획"}</definedName>
    <definedName name="불량분석" hidden="1">{#N/A,#N/A,FALSE,"협조전";#N/A,#N/A,FALSE,"원가절감계획 ";#N/A,#N/A,FALSE,"항목별원가절감계획"}</definedName>
    <definedName name="불량재고경비실적" localSheetId="0" hidden="1">{#N/A,#N/A,TRUE,"Y생산";#N/A,#N/A,TRUE,"Y판매";#N/A,#N/A,TRUE,"Y총물량";#N/A,#N/A,TRUE,"Y능력";#N/A,#N/A,TRUE,"YKD"}</definedName>
    <definedName name="불량재고경비실적" hidden="1">{#N/A,#N/A,TRUE,"Y생산";#N/A,#N/A,TRUE,"Y판매";#N/A,#N/A,TRUE,"Y총물량";#N/A,#N/A,TRUE,"Y능력";#N/A,#N/A,TRUE,"YKD"}</definedName>
    <definedName name="불량향상" localSheetId="0" hidden="1">{#N/A,#N/A,FALSE,"신규dep";#N/A,#N/A,FALSE,"신규dep-금형상각후";#N/A,#N/A,FALSE,"신규dep-연구비상각후";#N/A,#N/A,FALSE,"신규dep-기계,공구상각후"}</definedName>
    <definedName name="불량향상" hidden="1">{#N/A,#N/A,FALSE,"신규dep";#N/A,#N/A,FALSE,"신규dep-금형상각후";#N/A,#N/A,FALSE,"신규dep-연구비상각후";#N/A,#N/A,FALSE,"신규dep-기계,공구상각후"}</definedName>
    <definedName name="비상" localSheetId="0" hidden="1">{#N/A,#N/A,FALSE,"단축1";#N/A,#N/A,FALSE,"단축2";#N/A,#N/A,FALSE,"단축3";#N/A,#N/A,FALSE,"장축";#N/A,#N/A,FALSE,"4WD"}</definedName>
    <definedName name="비상" hidden="1">{#N/A,#N/A,FALSE,"단축1";#N/A,#N/A,FALSE,"단축2";#N/A,#N/A,FALSE,"단축3";#N/A,#N/A,FALSE,"장축";#N/A,#N/A,FALSE,"4WD"}</definedName>
    <definedName name="비중">#REF!</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{#N/A,#N/A,TRUE,"Y생산";#N/A,#N/A,TRUE,"Y판매";#N/A,#N/A,TRUE,"Y총물량";#N/A,#N/A,TRUE,"Y능력";#N/A,#N/A,TRUE,"YKD"}</definedName>
    <definedName name="ㅅ" hidden="1">{#N/A,#N/A,TRUE,"Y생산";#N/A,#N/A,TRUE,"Y판매";#N/A,#N/A,TRUE,"Y총물량";#N/A,#N/A,TRUE,"Y능력";#N/A,#N/A,TRUE,"YKD"}</definedName>
    <definedName name="ㅅㅅㅅ" localSheetId="0" hidden="1">{#N/A,#N/A,FALSE,"단축1";#N/A,#N/A,FALSE,"단축2";#N/A,#N/A,FALSE,"단축3";#N/A,#N/A,FALSE,"장축";#N/A,#N/A,FALSE,"4WD"}</definedName>
    <definedName name="ㅅ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ㅅ홀ㅎ" localSheetId="0" hidden="1">{#N/A,#N/A,FALSE,"단축1";#N/A,#N/A,FALSE,"단축2";#N/A,#N/A,FALSE,"단축3";#N/A,#N/A,FALSE,"장축";#N/A,#N/A,FALSE,"4WD"}</definedName>
    <definedName name="ㅅ홀ㅎ" hidden="1">{#N/A,#N/A,FALSE,"단축1";#N/A,#N/A,FALSE,"단축2";#N/A,#N/A,FALSE,"단축3";#N/A,#N/A,FALSE,"장축";#N/A,#N/A,FALSE,"4WD"}</definedName>
    <definedName name="사양안" localSheetId="0" hidden="1">{#N/A,#N/A,FALSE,"단축1";#N/A,#N/A,FALSE,"단축2";#N/A,#N/A,FALSE,"단축3";#N/A,#N/A,FALSE,"장축";#N/A,#N/A,FALSE,"4WD"}</definedName>
    <definedName name="사양안" hidden="1">{#N/A,#N/A,FALSE,"단축1";#N/A,#N/A,FALSE,"단축2";#N/A,#N/A,FALSE,"단축3";#N/A,#N/A,FALSE,"장축";#N/A,#N/A,FALSE,"4WD"}</definedName>
    <definedName name="사업" localSheetId="0" hidden="1">{#N/A,#N/A,FALSE,"표지";#N/A,#N/A,FALSE,"을지1";#N/A,#N/A,FALSE,"일정1";#N/A,#N/A,FALSE,"일정2";#N/A,#N/A,FALSE,"11T-C";#N/A,#N/A,FALSE,"15T-D";#N/A,#N/A,FALSE,"판매현황";#N/A,#N/A,FALSE,"업무 FLOW"}</definedName>
    <definedName name="사업" hidden="1">{#N/A,#N/A,FALSE,"표지";#N/A,#N/A,FALSE,"을지1";#N/A,#N/A,FALSE,"일정1";#N/A,#N/A,FALSE,"일정2";#N/A,#N/A,FALSE,"11T-C";#N/A,#N/A,FALSE,"15T-D";#N/A,#N/A,FALSE,"판매현황";#N/A,#N/A,FALSE,"업무 FLOW"}</definedName>
    <definedName name="사업장폐기물">'[1]5-4. Calorific&amp;Emission factor'!#REF!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산업별배출계수">[6]배출계수!$B$25:$G$37</definedName>
    <definedName name="산업수요2" localSheetId="0" hidden="1">{#N/A,#N/A,FALSE,"단축1";#N/A,#N/A,FALSE,"단축2";#N/A,#N/A,FALSE,"단축3";#N/A,#N/A,FALSE,"장축";#N/A,#N/A,FALSE,"4WD"}</definedName>
    <definedName name="산업수요2" hidden="1">{#N/A,#N/A,FALSE,"단축1";#N/A,#N/A,FALSE,"단축2";#N/A,#N/A,FALSE,"단축3";#N/A,#N/A,FALSE,"장축";#N/A,#N/A,FALSE,"4WD"}</definedName>
    <definedName name="삼성" localSheetId="0" hidden="1">{#N/A,#N/A,FALSE,"정공"}</definedName>
    <definedName name="삼성" hidden="1">{#N/A,#N/A,FALSE,"정공"}</definedName>
    <definedName name="상" localSheetId="0" hidden="1">{#N/A,#N/A,FALSE,"단축1";#N/A,#N/A,FALSE,"단축2";#N/A,#N/A,FALSE,"단축3";#N/A,#N/A,FALSE,"장축";#N/A,#N/A,FALSE,"4WD"}</definedName>
    <definedName name="상" hidden="1">{#N/A,#N/A,FALSE,"단축1";#N/A,#N/A,FALSE,"단축2";#N/A,#N/A,FALSE,"단축3";#N/A,#N/A,FALSE,"장축";#N/A,#N/A,FALSE,"4WD"}</definedName>
    <definedName name="상반기" localSheetId="0" hidden="1">{#N/A,#N/A,FALSE,"단축1";#N/A,#N/A,FALSE,"단축2";#N/A,#N/A,FALSE,"단축3";#N/A,#N/A,FALSE,"장축";#N/A,#N/A,FALSE,"4WD"}</definedName>
    <definedName name="상반기" hidden="1">{#N/A,#N/A,FALSE,"단축1";#N/A,#N/A,FALSE,"단축2";#N/A,#N/A,FALSE,"단축3";#N/A,#N/A,FALSE,"장축";#N/A,#N/A,FALSE,"4WD"}</definedName>
    <definedName name="상반기예상실적" localSheetId="0" hidden="1">{#N/A,#N/A,FALSE,"단축1";#N/A,#N/A,FALSE,"단축2";#N/A,#N/A,FALSE,"단축3";#N/A,#N/A,FALSE,"장축";#N/A,#N/A,FALSE,"4WD"}</definedName>
    <definedName name="상반기예상실적" hidden="1">{#N/A,#N/A,FALSE,"단축1";#N/A,#N/A,FALSE,"단축2";#N/A,#N/A,FALSE,"단축3";#N/A,#N/A,FALSE,"장축";#N/A,#N/A,FALSE,"4WD"}</definedName>
    <definedName name="상세" localSheetId="0" hidden="1">{#N/A,#N/A,FALSE,"단축1";#N/A,#N/A,FALSE,"단축2";#N/A,#N/A,FALSE,"단축3";#N/A,#N/A,FALSE,"장축";#N/A,#N/A,FALSE,"4WD"}</definedName>
    <definedName name="상세" hidden="1">{#N/A,#N/A,FALSE,"단축1";#N/A,#N/A,FALSE,"단축2";#N/A,#N/A,FALSE,"단축3";#N/A,#N/A,FALSE,"장축";#N/A,#N/A,FALSE,"4WD"}</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3" localSheetId="0"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새거"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이르" localSheetId="0" hidden="1">{#N/A,#N/A,FALSE,"단축1";#N/A,#N/A,FALSE,"단축2";#N/A,#N/A,FALSE,"단축3";#N/A,#N/A,FALSE,"장축";#N/A,#N/A,FALSE,"4WD"}</definedName>
    <definedName name="새이르" hidden="1">{#N/A,#N/A,FALSE,"단축1";#N/A,#N/A,FALSE,"단축2";#N/A,#N/A,FALSE,"단축3";#N/A,#N/A,FALSE,"장축";#N/A,#N/A,FALSE,"4WD"}</definedName>
    <definedName name="새이름" localSheetId="0" hidden="1">{#N/A,#N/A,FALSE,"단축1";#N/A,#N/A,FALSE,"단축2";#N/A,#N/A,FALSE,"단축3";#N/A,#N/A,FALSE,"장축";#N/A,#N/A,FALSE,"4WD"}</definedName>
    <definedName name="새이름" hidden="1">{#N/A,#N/A,FALSE,"단축1";#N/A,#N/A,FALSE,"단축2";#N/A,#N/A,FALSE,"단축3";#N/A,#N/A,FALSE,"장축";#N/A,#N/A,FALSE,"4WD"}</definedName>
    <definedName name="새이픔" localSheetId="0" hidden="1">{#N/A,#N/A,FALSE,"단축1";#N/A,#N/A,FALSE,"단축2";#N/A,#N/A,FALSE,"단축3";#N/A,#N/A,FALSE,"장축";#N/A,#N/A,FALSE,"4WD"}</definedName>
    <definedName name="새이픔" hidden="1">{#N/A,#N/A,FALSE,"단축1";#N/A,#N/A,FALSE,"단축2";#N/A,#N/A,FALSE,"단축3";#N/A,#N/A,FALSE,"장축";#N/A,#N/A,FALSE,"4WD"}</definedName>
    <definedName name="생기요건1" localSheetId="0" hidden="1">{#N/A,#N/A,FALSE,"단축1";#N/A,#N/A,FALSE,"단축2";#N/A,#N/A,FALSE,"단축3";#N/A,#N/A,FALSE,"장축";#N/A,#N/A,FALSE,"4WD"}</definedName>
    <definedName name="생기요건1" hidden="1">{#N/A,#N/A,FALSE,"단축1";#N/A,#N/A,FALSE,"단축2";#N/A,#N/A,FALSE,"단축3";#N/A,#N/A,FALSE,"장축";#N/A,#N/A,FALSE,"4WD"}</definedName>
    <definedName name="생기일정표" localSheetId="0" hidden="1">{#N/A,#N/A,FALSE,"단축1";#N/A,#N/A,FALSE,"단축2";#N/A,#N/A,FALSE,"단축3";#N/A,#N/A,FALSE,"장축";#N/A,#N/A,FALSE,"4WD"}</definedName>
    <definedName name="생기일정표" hidden="1">{#N/A,#N/A,FALSE,"단축1";#N/A,#N/A,FALSE,"단축2";#N/A,#N/A,FALSE,"단축3";#N/A,#N/A,FALSE,"장축";#N/A,#N/A,FALSE,"4WD"}</definedName>
    <definedName name="생산_트랙터">#REF!</definedName>
    <definedName name="생산_트랙터외">#REF!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관리부" localSheetId="0" hidden="1">{#N/A,#N/A,FALSE,"단축1";#N/A,#N/A,FALSE,"단축2";#N/A,#N/A,FALSE,"단축3";#N/A,#N/A,FALSE,"장축";#N/A,#N/A,FALSE,"4WD"}</definedName>
    <definedName name="생산관리부" hidden="1">{#N/A,#N/A,FALSE,"단축1";#N/A,#N/A,FALSE,"단축2";#N/A,#N/A,FALSE,"단축3";#N/A,#N/A,FALSE,"장축";#N/A,#N/A,FALSE,"4WD"}</definedName>
    <definedName name="생산성향상" localSheetId="0" hidden="1">{#N/A,#N/A,TRUE,"Y생산";#N/A,#N/A,TRUE,"Y판매";#N/A,#N/A,TRUE,"Y총물량";#N/A,#N/A,TRUE,"Y능력";#N/A,#N/A,TRUE,"YKD"}</definedName>
    <definedName name="생산성향상" hidden="1">{#N/A,#N/A,TRUE,"Y생산";#N/A,#N/A,TRUE,"Y판매";#N/A,#N/A,TRUE,"Y총물량";#N/A,#N/A,TRUE,"Y능력";#N/A,#N/A,TRUE,"YKD"}</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생산혁신가공업무분장" localSheetId="0" hidden="1">{#N/A,#N/A,FALSE,"단축1";#N/A,#N/A,FALSE,"단축2";#N/A,#N/A,FALSE,"단축3";#N/A,#N/A,FALSE,"장축";#N/A,#N/A,FALSE,"4WD"}</definedName>
    <definedName name="생산혁신가공업무분장" hidden="1">{#N/A,#N/A,FALSE,"단축1";#N/A,#N/A,FALSE,"단축2";#N/A,#N/A,FALSE,"단축3";#N/A,#N/A,FALSE,"장축";#N/A,#N/A,FALSE,"4WD"}</definedName>
    <definedName name="생요서4" localSheetId="0" hidden="1">{#N/A,#N/A,FALSE,"단축1";#N/A,#N/A,FALSE,"단축2";#N/A,#N/A,FALSE,"단축3";#N/A,#N/A,FALSE,"장축";#N/A,#N/A,FALSE,"4WD"}</definedName>
    <definedName name="생요서4" hidden="1">{#N/A,#N/A,FALSE,"단축1";#N/A,#N/A,FALSE,"단축2";#N/A,#N/A,FALSE,"단축3";#N/A,#N/A,FALSE,"장축";#N/A,#N/A,FALSE,"4WD"}</definedName>
    <definedName name="생활폐기물">'[1]5-4. Calorific&amp;Emission factor'!#REF!</definedName>
    <definedName name="서류전형합격분석" localSheetId="0" hidden="1">{#N/A,#N/A,FALSE,"단축1";#N/A,#N/A,FALSE,"단축2";#N/A,#N/A,FALSE,"단축3";#N/A,#N/A,FALSE,"장축";#N/A,#N/A,FALSE,"4WD"}</definedName>
    <definedName name="서류전형합격분석" hidden="1">{#N/A,#N/A,FALSE,"단축1";#N/A,#N/A,FALSE,"단축2";#N/A,#N/A,FALSE,"단축3";#N/A,#N/A,FALSE,"장축";#N/A,#N/A,FALSE,"4WD"}</definedName>
    <definedName name="서부2" localSheetId="0" hidden="1">{#N/A,#N/A,FALSE,"신규dep";#N/A,#N/A,FALSE,"신규dep-금형상각후";#N/A,#N/A,FALSE,"신규dep-연구비상각후";#N/A,#N/A,FALSE,"신규dep-기계,공구상각후"}</definedName>
    <definedName name="서부2" hidden="1">{#N/A,#N/A,FALSE,"신규dep";#N/A,#N/A,FALSE,"신규dep-금형상각후";#N/A,#N/A,FALSE,"신규dep-연구비상각후";#N/A,#N/A,FALSE,"신규dep-기계,공구상각후"}</definedName>
    <definedName name="서승수" localSheetId="0" hidden="1">{#N/A,#N/A,TRUE,"Y생산";#N/A,#N/A,TRUE,"Y판매";#N/A,#N/A,TRUE,"Y총물량";#N/A,#N/A,TRUE,"Y능력";#N/A,#N/A,TRUE,"YKD"}</definedName>
    <definedName name="서승수" hidden="1">{#N/A,#N/A,TRUE,"Y생산";#N/A,#N/A,TRUE,"Y판매";#N/A,#N/A,TRUE,"Y총물량";#N/A,#N/A,TRUE,"Y능력";#N/A,#N/A,TRUE,"YKD"}</definedName>
    <definedName name="석빈" localSheetId="0" hidden="1">{#N/A,#N/A,FALSE,"단축1";#N/A,#N/A,FALSE,"단축2";#N/A,#N/A,FALSE,"단축3";#N/A,#N/A,FALSE,"장축";#N/A,#N/A,FALSE,"4WD"}</definedName>
    <definedName name="석빈" hidden="1">{#N/A,#N/A,FALSE,"단축1";#N/A,#N/A,FALSE,"단축2";#N/A,#N/A,FALSE,"단축3";#N/A,#N/A,FALSE,"장축";#N/A,#N/A,FALSE,"4WD"}</definedName>
    <definedName name="석유화학공정">[12]공정배출목록!$A$1:$A$17</definedName>
    <definedName name="석회석">'[12]공정배출(발전)'!$N$4:$N$9</definedName>
    <definedName name="선박연료">'[12]이동연소 연료 배출계수'!$A$9:$A$15</definedName>
    <definedName name="선행11" localSheetId="0" hidden="1">{#N/A,#N/A,FALSE,"산학연 합동연구";#N/A,#N/A,FALSE,"96업무계획";#N/A,#N/A,FALSE,"96기술개발계획";#N/A,#N/A,FALSE,"인력양성";#N/A,#N/A,FALSE,"7. 원가절감계획";#N/A,#N/A,FALSE,"노무";#N/A,#N/A,FALSE,"업무계획";#N/A,#N/A,FALSE,"제목"}</definedName>
    <definedName name="선행11" hidden="1">{#N/A,#N/A,FALSE,"산학연 합동연구";#N/A,#N/A,FALSE,"96업무계획";#N/A,#N/A,FALSE,"96기술개발계획";#N/A,#N/A,FALSE,"인력양성";#N/A,#N/A,FALSE,"7. 원가절감계획";#N/A,#N/A,FALSE,"노무";#N/A,#N/A,FALSE,"업무계획";#N/A,#N/A,FALSE,"제목"}</definedName>
    <definedName name="선행기술" localSheetId="0"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localSheetId="0" hidden="1">{#N/A,#N/A,FALSE,"단축1";#N/A,#N/A,FALSE,"단축2";#N/A,#N/A,FALSE,"단축3";#N/A,#N/A,FALSE,"장축";#N/A,#N/A,FALSE,"4WD"}</definedName>
    <definedName name="설계8" hidden="1">{#N/A,#N/A,FALSE,"단축1";#N/A,#N/A,FALSE,"단축2";#N/A,#N/A,FALSE,"단축3";#N/A,#N/A,FALSE,"장축";#N/A,#N/A,FALSE,"4WD"}</definedName>
    <definedName name="설비절감방안" localSheetId="0" hidden="1">{#N/A,#N/A,FALSE,"단축1";#N/A,#N/A,FALSE,"단축2";#N/A,#N/A,FALSE,"단축3";#N/A,#N/A,FALSE,"장축";#N/A,#N/A,FALSE,"4WD"}</definedName>
    <definedName name="설비절감방안" hidden="1">{#N/A,#N/A,FALSE,"단축1";#N/A,#N/A,FALSE,"단축2";#N/A,#N/A,FALSE,"단축3";#N/A,#N/A,FALSE,"장축";#N/A,#N/A,FALSE,"4WD"}</definedName>
    <definedName name="세번" localSheetId="0" hidden="1">{#N/A,#N/A,FALSE,"단축1";#N/A,#N/A,FALSE,"단축2";#N/A,#N/A,FALSE,"단축3";#N/A,#N/A,FALSE,"장축";#N/A,#N/A,FALSE,"4WD"}</definedName>
    <definedName name="세번" hidden="1">{#N/A,#N/A,FALSE,"단축1";#N/A,#N/A,FALSE,"단축2";#N/A,#N/A,FALSE,"단축3";#N/A,#N/A,FALSE,"장축";#N/A,#N/A,FALSE,"4WD"}</definedName>
    <definedName name="세부생산계획" localSheetId="0" hidden="1">{#N/A,#N/A,TRUE,"Y생산";#N/A,#N/A,TRUE,"Y판매";#N/A,#N/A,TRUE,"Y총물량";#N/A,#N/A,TRUE,"Y능력";#N/A,#N/A,TRUE,"YKD"}</definedName>
    <definedName name="세부생산계획" hidden="1">{#N/A,#N/A,TRUE,"Y생산";#N/A,#N/A,TRUE,"Y판매";#N/A,#N/A,TRUE,"Y총물량";#N/A,#N/A,TRUE,"Y능력";#N/A,#N/A,TRUE,"YKD"}</definedName>
    <definedName name="세부일정" localSheetId="0"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hidden="1">{#N/A,#N/A,FALSE,"단축1";#N/A,#N/A,FALSE,"단축2";#N/A,#N/A,FALSE,"단축3";#N/A,#N/A,FALSE,"장축";#N/A,#N/A,FALSE,"4WD"}</definedName>
    <definedName name="셀리카" hidden="1">#REF!</definedName>
    <definedName name="소요금액" localSheetId="0" hidden="1">{#N/A,#N/A,FALSE,"단축1";#N/A,#N/A,FALSE,"단축2";#N/A,#N/A,FALSE,"단축3";#N/A,#N/A,FALSE,"장축";#N/A,#N/A,FALSE,"4WD"}</definedName>
    <definedName name="소요금액" hidden="1">{#N/A,#N/A,FALSE,"단축1";#N/A,#N/A,FALSE,"단축2";#N/A,#N/A,FALSE,"단축3";#N/A,#N/A,FALSE,"장축";#N/A,#N/A,FALSE,"4WD"}</definedName>
    <definedName name="소화주철장판" localSheetId="0" hidden="1">{#N/A,#N/A,FALSE,"단축1";#N/A,#N/A,FALSE,"단축2";#N/A,#N/A,FALSE,"단축3";#N/A,#N/A,FALSE,"장축";#N/A,#N/A,FALSE,"4WD"}</definedName>
    <definedName name="소화주철장판" hidden="1">{#N/A,#N/A,FALSE,"단축1";#N/A,#N/A,FALSE,"단축2";#N/A,#N/A,FALSE,"단축3";#N/A,#N/A,FALSE,"장축";#N/A,#N/A,FALSE,"4WD"}</definedName>
    <definedName name="손익">#REF!</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박" localSheetId="0" hidden="1">{#N/A,#N/A,FALSE,"표지";#N/A,#N/A,FALSE,"을지1";#N/A,#N/A,FALSE,"일정1";#N/A,#N/A,FALSE,"일정2";#N/A,#N/A,FALSE,"11T-C";#N/A,#N/A,FALSE,"15T-D";#N/A,#N/A,FALSE,"판매현황";#N/A,#N/A,FALSE,"업무 FLOW"}</definedName>
    <definedName name="수박" hidden="1">{#N/A,#N/A,FALSE,"표지";#N/A,#N/A,FALSE,"을지1";#N/A,#N/A,FALSE,"일정1";#N/A,#N/A,FALSE,"일정2";#N/A,#N/A,FALSE,"11T-C";#N/A,#N/A,FALSE,"15T-D";#N/A,#N/A,FALSE,"판매현황";#N/A,#N/A,FALSE,"업무 FLOW"}</definedName>
    <definedName name="수실" localSheetId="0" hidden="1">{#N/A,#N/A,FALSE,"단축1";#N/A,#N/A,FALSE,"단축2";#N/A,#N/A,FALSE,"단축3";#N/A,#N/A,FALSE,"장축";#N/A,#N/A,FALSE,"4WD"}</definedName>
    <definedName name="수실" hidden="1">{#N/A,#N/A,FALSE,"단축1";#N/A,#N/A,FALSE,"단축2";#N/A,#N/A,FALSE,"단축3";#N/A,#N/A,FALSE,"장축";#N/A,#N/A,FALSE,"4WD"}</definedName>
    <definedName name="수요검토" localSheetId="0" hidden="1">{#N/A,#N/A,FALSE,"단축1";#N/A,#N/A,FALSE,"단축2";#N/A,#N/A,FALSE,"단축3";#N/A,#N/A,FALSE,"장축";#N/A,#N/A,FALSE,"4WD"}</definedName>
    <definedName name="수요검토" hidden="1">{#N/A,#N/A,FALSE,"단축1";#N/A,#N/A,FALSE,"단축2";#N/A,#N/A,FALSE,"단축3";#N/A,#N/A,FALSE,"장축";#N/A,#N/A,FALSE,"4WD"}</definedName>
    <definedName name="수요전망" localSheetId="0" hidden="1">{#N/A,#N/A,FALSE,"신규dep";#N/A,#N/A,FALSE,"신규dep-금형상각후";#N/A,#N/A,FALSE,"신규dep-연구비상각후";#N/A,#N/A,FALSE,"신규dep-기계,공구상각후"}</definedName>
    <definedName name="수요전망" hidden="1">{#N/A,#N/A,FALSE,"신규dep";#N/A,#N/A,FALSE,"신규dep-금형상각후";#N/A,#N/A,FALSE,"신규dep-연구비상각후";#N/A,#N/A,FALSE,"신규dep-기계,공구상각후"}</definedName>
    <definedName name="수익4속" localSheetId="0" hidden="1">{#N/A,#N/A,FALSE,"단축1";#N/A,#N/A,FALSE,"단축2";#N/A,#N/A,FALSE,"단축3";#N/A,#N/A,FALSE,"장축";#N/A,#N/A,FALSE,"4WD"}</definedName>
    <definedName name="수익4속" hidden="1">{#N/A,#N/A,FALSE,"단축1";#N/A,#N/A,FALSE,"단축2";#N/A,#N/A,FALSE,"단축3";#N/A,#N/A,FALSE,"장축";#N/A,#N/A,FALSE,"4WD"}</definedName>
    <definedName name="수정" localSheetId="0" hidden="1">{#N/A,#N/A,FALSE,"단축1";#N/A,#N/A,FALSE,"단축2";#N/A,#N/A,FALSE,"단축3";#N/A,#N/A,FALSE,"장축";#N/A,#N/A,FALSE,"4WD"}</definedName>
    <definedName name="수정" hidden="1">{#N/A,#N/A,FALSE,"단축1";#N/A,#N/A,FALSE,"단축2";#N/A,#N/A,FALSE,"단축3";#N/A,#N/A,FALSE,"장축";#N/A,#N/A,FALSE,"4WD"}</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안" localSheetId="0" hidden="1">{#N/A,#N/A,FALSE,"신규dep";#N/A,#N/A,FALSE,"신규dep-금형상각후";#N/A,#N/A,FALSE,"신규dep-연구비상각후";#N/A,#N/A,FALSE,"신규dep-기계,공구상각후"}</definedName>
    <definedName name="수정안" hidden="1">{#N/A,#N/A,FALSE,"신규dep";#N/A,#N/A,FALSE,"신규dep-금형상각후";#N/A,#N/A,FALSE,"신규dep-연구비상각후";#N/A,#N/A,FALSE,"신규dep-기계,공구상각후"}</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순서" localSheetId="0"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스타렉스" localSheetId="0" hidden="1">{#N/A,#N/A,FALSE,"단축1";#N/A,#N/A,FALSE,"단축2";#N/A,#N/A,FALSE,"단축3";#N/A,#N/A,FALSE,"장축";#N/A,#N/A,FALSE,"4WD"}</definedName>
    <definedName name="스타렉스" hidden="1">{#N/A,#N/A,FALSE,"단축1";#N/A,#N/A,FALSE,"단축2";#N/A,#N/A,FALSE,"단축3";#N/A,#N/A,FALSE,"장축";#N/A,#N/A,FALSE,"4WD"}</definedName>
    <definedName name="승원" localSheetId="0" hidden="1">{#N/A,#N/A,FALSE,"품의서";#N/A,#N/A,FALSE,"전제";#N/A,#N/A,FALSE,"총손";#N/A,#N/A,FALSE,"손익";#N/A,#N/A,FALSE,"대당";#N/A,#N/A,FALSE,"가공비";#N/A,#N/A,FALSE,"재료비";#N/A,#N/A,FALSE,"판비";#N/A,#N/A,FALSE,"가격"}</definedName>
    <definedName name="승원" hidden="1">{#N/A,#N/A,FALSE,"품의서";#N/A,#N/A,FALSE,"전제";#N/A,#N/A,FALSE,"총손";#N/A,#N/A,FALSE,"손익";#N/A,#N/A,FALSE,"대당";#N/A,#N/A,FALSE,"가공비";#N/A,#N/A,FALSE,"재료비";#N/A,#N/A,FALSE,"판비";#N/A,#N/A,FALSE,"가격"}</definedName>
    <definedName name="시" localSheetId="0" hidden="1">{#N/A,#N/A,FALSE,"단축1";#N/A,#N/A,FALSE,"단축2";#N/A,#N/A,FALSE,"단축3";#N/A,#N/A,FALSE,"장축";#N/A,#N/A,FALSE,"4WD"}</definedName>
    <definedName name="시" hidden="1">{#N/A,#N/A,FALSE,"단축1";#N/A,#N/A,FALSE,"단축2";#N/A,#N/A,FALSE,"단축3";#N/A,#N/A,FALSE,"장축";#N/A,#N/A,FALSE,"4WD"}</definedName>
    <definedName name="시간" localSheetId="0" hidden="1">{#N/A,#N/A,TRUE,"Y생산";#N/A,#N/A,TRUE,"Y판매";#N/A,#N/A,TRUE,"Y총물량";#N/A,#N/A,TRUE,"Y능력";#N/A,#N/A,TRUE,"YKD"}</definedName>
    <definedName name="시간" hidden="1">{#N/A,#N/A,TRUE,"Y생산";#N/A,#N/A,TRUE,"Y판매";#N/A,#N/A,TRUE,"Y총물량";#N/A,#N/A,TRUE,"Y능력";#N/A,#N/A,TRUE,"YKD"}</definedName>
    <definedName name="시그마1" localSheetId="0" hidden="1">{#N/A,#N/A,FALSE,"단축1";#N/A,#N/A,FALSE,"단축2";#N/A,#N/A,FALSE,"단축3";#N/A,#N/A,FALSE,"장축";#N/A,#N/A,FALSE,"4WD"}</definedName>
    <definedName name="시그마1" hidden="1">{#N/A,#N/A,FALSE,"단축1";#N/A,#N/A,FALSE,"단축2";#N/A,#N/A,FALSE,"단축3";#N/A,#N/A,FALSE,"장축";#N/A,#N/A,FALSE,"4WD"}</definedName>
    <definedName name="시리즈" localSheetId="0" hidden="1">{#N/A,#N/A,FALSE,"단축1";#N/A,#N/A,FALSE,"단축2";#N/A,#N/A,FALSE,"단축3";#N/A,#N/A,FALSE,"장축";#N/A,#N/A,FALSE,"4WD"}</definedName>
    <definedName name="시리즈" hidden="1">{#N/A,#N/A,FALSE,"단축1";#N/A,#N/A,FALSE,"단축2";#N/A,#N/A,FALSE,"단축3";#N/A,#N/A,FALSE,"장축";#N/A,#N/A,FALSE,"4WD"}</definedName>
    <definedName name="시아강가아거" localSheetId="0" hidden="1">{#N/A,#N/A,FALSE,"단축1";#N/A,#N/A,FALSE,"단축2";#N/A,#N/A,FALSE,"단축3";#N/A,#N/A,FALSE,"장축";#N/A,#N/A,FALSE,"4WD"}</definedName>
    <definedName name="시아강가아거" hidden="1">{#N/A,#N/A,FALSE,"단축1";#N/A,#N/A,FALSE,"단축2";#N/A,#N/A,FALSE,"단축3";#N/A,#N/A,FALSE,"장축";#N/A,#N/A,FALSE,"4WD"}</definedName>
    <definedName name="시장관리" localSheetId="0" hidden="1">{#N/A,#N/A,FALSE,"신규dep";#N/A,#N/A,FALSE,"신규dep-금형상각후";#N/A,#N/A,FALSE,"신규dep-연구비상각후";#N/A,#N/A,FALSE,"신규dep-기계,공구상각후"}</definedName>
    <definedName name="시장관리" hidden="1">{#N/A,#N/A,FALSE,"신규dep";#N/A,#N/A,FALSE,"신규dep-금형상각후";#N/A,#N/A,FALSE,"신규dep-연구비상각후";#N/A,#N/A,FALSE,"신규dep-기계,공구상각후"}</definedName>
    <definedName name="시장동향" localSheetId="0" hidden="1">{#N/A,#N/A,FALSE,"단축1";#N/A,#N/A,FALSE,"단축2";#N/A,#N/A,FALSE,"단축3";#N/A,#N/A,FALSE,"장축";#N/A,#N/A,FALSE,"4WD"}</definedName>
    <definedName name="시장동향" hidden="1">{#N/A,#N/A,FALSE,"단축1";#N/A,#N/A,FALSE,"단축2";#N/A,#N/A,FALSE,"단축3";#N/A,#N/A,FALSE,"장축";#N/A,#N/A,FALSE,"4WD"}</definedName>
    <definedName name="시트" localSheetId="0" hidden="1">{#N/A,#N/A,TRUE,"Y생산";#N/A,#N/A,TRUE,"Y판매";#N/A,#N/A,TRUE,"Y총물량";#N/A,#N/A,TRUE,"Y능력";#N/A,#N/A,TRUE,"YKD"}</definedName>
    <definedName name="시트" hidden="1">{#N/A,#N/A,TRUE,"Y생산";#N/A,#N/A,TRUE,"Y판매";#N/A,#N/A,TRUE,"Y총물량";#N/A,#N/A,TRUE,"Y능력";#N/A,#N/A,TRUE,"YKD"}</definedName>
    <definedName name="신" localSheetId="0" hidden="1">{#N/A,#N/A,FALSE,"단축1";#N/A,#N/A,FALSE,"단축2";#N/A,#N/A,FALSE,"단축3";#N/A,#N/A,FALSE,"장축";#N/A,#N/A,FALSE,"4WD"}</definedName>
    <definedName name="신" hidden="1">{#N/A,#N/A,FALSE,"단축1";#N/A,#N/A,FALSE,"단축2";#N/A,#N/A,FALSE,"단축3";#N/A,#N/A,FALSE,"장축";#N/A,#N/A,FALSE,"4WD"}</definedName>
    <definedName name="신AT종합" localSheetId="0" hidden="1">{#N/A,#N/A,FALSE,"단축1";#N/A,#N/A,FALSE,"단축2";#N/A,#N/A,FALSE,"단축3";#N/A,#N/A,FALSE,"장축";#N/A,#N/A,FALSE,"4WD"}</definedName>
    <definedName name="신AT종합" hidden="1">{#N/A,#N/A,FALSE,"단축1";#N/A,#N/A,FALSE,"단축2";#N/A,#N/A,FALSE,"단축3";#N/A,#N/A,FALSE,"장축";#N/A,#N/A,FALSE,"4WD"}</definedName>
    <definedName name="신규" localSheetId="0"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동" localSheetId="0"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0"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localSheetId="0"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localSheetId="0" hidden="1">{#N/A,#N/A,FALSE,"단축1";#N/A,#N/A,FALSE,"단축2";#N/A,#N/A,FALSE,"단축3";#N/A,#N/A,FALSE,"장축";#N/A,#N/A,FALSE,"4WD"}</definedName>
    <definedName name="신동좁" hidden="1">{#N/A,#N/A,FALSE,"단축1";#N/A,#N/A,FALSE,"단축2";#N/A,#N/A,FALSE,"단축3";#N/A,#N/A,FALSE,"장축";#N/A,#N/A,FALSE,"4WD"}</definedName>
    <definedName name="신세대종합" localSheetId="0" hidden="1">{#N/A,#N/A,FALSE,"단축1";#N/A,#N/A,FALSE,"단축2";#N/A,#N/A,FALSE,"단축3";#N/A,#N/A,FALSE,"장축";#N/A,#N/A,FALSE,"4WD"}</definedName>
    <definedName name="신세대종합" hidden="1">{#N/A,#N/A,FALSE,"단축1";#N/A,#N/A,FALSE,"단축2";#N/A,#N/A,FALSE,"단축3";#N/A,#N/A,FALSE,"장축";#N/A,#N/A,FALSE,"4WD"}</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신추진사업" localSheetId="0" hidden="1">{#N/A,#N/A,TRUE,"Y생산";#N/A,#N/A,TRUE,"Y판매";#N/A,#N/A,TRUE,"Y총물량";#N/A,#N/A,TRUE,"Y능력";#N/A,#N/A,TRUE,"YKD"}</definedName>
    <definedName name="신추진사업" hidden="1">{#N/A,#N/A,TRUE,"Y생산";#N/A,#N/A,TRUE,"Y판매";#N/A,#N/A,TRUE,"Y총물량";#N/A,#N/A,TRUE,"Y능력";#N/A,#N/A,TRUE,"YKD"}</definedName>
    <definedName name="실사4" localSheetId="0" hidden="1">{#N/A,#N/A,FALSE,"단축1";#N/A,#N/A,FALSE,"단축2";#N/A,#N/A,FALSE,"단축3";#N/A,#N/A,FALSE,"장축";#N/A,#N/A,FALSE,"4WD"}</definedName>
    <definedName name="실사4" hidden="1">{#N/A,#N/A,FALSE,"단축1";#N/A,#N/A,FALSE,"단축2";#N/A,#N/A,FALSE,"단축3";#N/A,#N/A,FALSE,"장축";#N/A,#N/A,FALSE,"4WD"}</definedName>
    <definedName name="실시" localSheetId="0" hidden="1">{#N/A,#N/A,FALSE,"단축1";#N/A,#N/A,FALSE,"단축2";#N/A,#N/A,FALSE,"단축3";#N/A,#N/A,FALSE,"장축";#N/A,#N/A,FALSE,"4WD"}</definedName>
    <definedName name="실시" hidden="1">{#N/A,#N/A,FALSE,"단축1";#N/A,#N/A,FALSE,"단축2";#N/A,#N/A,FALSE,"단축3";#N/A,#N/A,FALSE,"장축";#N/A,#N/A,FALSE,"4WD"}</definedName>
    <definedName name="실적" localSheetId="0" hidden="1">{#N/A,#N/A,FALSE,"단축1";#N/A,#N/A,FALSE,"단축2";#N/A,#N/A,FALSE,"단축3";#N/A,#N/A,FALSE,"장축";#N/A,#N/A,FALSE,"4WD"}</definedName>
    <definedName name="실적" hidden="1">{#N/A,#N/A,FALSE,"단축1";#N/A,#N/A,FALSE,"단축2";#N/A,#N/A,FALSE,"단축3";#N/A,#N/A,FALSE,"장축";#N/A,#N/A,FALSE,"4WD"}</definedName>
    <definedName name="실적4" localSheetId="0" hidden="1">{#N/A,#N/A,FALSE,"단축1";#N/A,#N/A,FALSE,"단축2";#N/A,#N/A,FALSE,"단축3";#N/A,#N/A,FALSE,"장축";#N/A,#N/A,FALSE,"4WD"}</definedName>
    <definedName name="실적4" hidden="1">{#N/A,#N/A,FALSE,"단축1";#N/A,#N/A,FALSE,"단축2";#N/A,#N/A,FALSE,"단축3";#N/A,#N/A,FALSE,"장축";#N/A,#N/A,FALSE,"4WD"}</definedName>
    <definedName name="실적요약" localSheetId="0" hidden="1">{#N/A,#N/A,FALSE,"단축1";#N/A,#N/A,FALSE,"단축2";#N/A,#N/A,FALSE,"단축3";#N/A,#N/A,FALSE,"장축";#N/A,#N/A,FALSE,"4WD"}</definedName>
    <definedName name="실적요약" hidden="1">{#N/A,#N/A,FALSE,"단축1";#N/A,#N/A,FALSE,"단축2";#N/A,#N/A,FALSE,"단축3";#N/A,#N/A,FALSE,"장축";#N/A,#N/A,FALSE,"4WD"}</definedName>
    <definedName name="ㅇ" localSheetId="0" hidden="1">{#N/A,#N/A,FALSE,"단축1";#N/A,#N/A,FALSE,"단축2";#N/A,#N/A,FALSE,"단축3";#N/A,#N/A,FALSE,"장축";#N/A,#N/A,FALSE,"4WD"}</definedName>
    <definedName name="ㅇ" hidden="1">{#N/A,#N/A,FALSE,"단축1";#N/A,#N/A,FALSE,"단축2";#N/A,#N/A,FALSE,"단축3";#N/A,#N/A,FALSE,"장축";#N/A,#N/A,FALSE,"4WD"}</definedName>
    <definedName name="ㅇㄴ" localSheetId="0" hidden="1">{#N/A,#N/A,FALSE,"10월"}</definedName>
    <definedName name="ㅇㄴ" hidden="1">{#N/A,#N/A,FALSE,"10월"}</definedName>
    <definedName name="ㅇㄴㄷ" localSheetId="0" hidden="1">{#N/A,#N/A,FALSE,"단축1";#N/A,#N/A,FALSE,"단축2";#N/A,#N/A,FALSE,"단축3";#N/A,#N/A,FALSE,"장축";#N/A,#N/A,FALSE,"4WD"}</definedName>
    <definedName name="ㅇㄴㄷ" hidden="1">{#N/A,#N/A,FALSE,"단축1";#N/A,#N/A,FALSE,"단축2";#N/A,#N/A,FALSE,"단축3";#N/A,#N/A,FALSE,"장축";#N/A,#N/A,FALSE,"4WD"}</definedName>
    <definedName name="ㅇㄹㄴ" localSheetId="0" hidden="1">{#N/A,#N/A,FALSE,"단축1";#N/A,#N/A,FALSE,"단축2";#N/A,#N/A,FALSE,"단축3";#N/A,#N/A,FALSE,"장축";#N/A,#N/A,FALSE,"4WD"}</definedName>
    <definedName name="ㅇㄹㄴ" hidden="1">{#N/A,#N/A,FALSE,"단축1";#N/A,#N/A,FALSE,"단축2";#N/A,#N/A,FALSE,"단축3";#N/A,#N/A,FALSE,"장축";#N/A,#N/A,FALSE,"4WD"}</definedName>
    <definedName name="ㅇㄹㄴㅇ" localSheetId="0" hidden="1">{#N/A,#N/A,FALSE,"단축1";#N/A,#N/A,FALSE,"단축2";#N/A,#N/A,FALSE,"단축3";#N/A,#N/A,FALSE,"장축";#N/A,#N/A,FALSE,"4WD"}</definedName>
    <definedName name="ㅇㄹㄴㅇ" hidden="1">{#N/A,#N/A,FALSE,"단축1";#N/A,#N/A,FALSE,"단축2";#N/A,#N/A,FALSE,"단축3";#N/A,#N/A,FALSE,"장축";#N/A,#N/A,FALSE,"4WD"}</definedName>
    <definedName name="ㅇㄹㄹㄹㄴㄹ" localSheetId="0" hidden="1">{#N/A,#N/A,FALSE,"단축1";#N/A,#N/A,FALSE,"단축2";#N/A,#N/A,FALSE,"단축3";#N/A,#N/A,FALSE,"장축";#N/A,#N/A,FALSE,"4WD"}</definedName>
    <definedName name="ㅇㄹㄹㄹㄴㄹ" hidden="1">{#N/A,#N/A,FALSE,"단축1";#N/A,#N/A,FALSE,"단축2";#N/A,#N/A,FALSE,"단축3";#N/A,#N/A,FALSE,"장축";#N/A,#N/A,FALSE,"4WD"}</definedName>
    <definedName name="ㅇㄹㅇ" localSheetId="0" hidden="1">{#N/A,#N/A,FALSE,"단축1";#N/A,#N/A,FALSE,"단축2";#N/A,#N/A,FALSE,"단축3";#N/A,#N/A,FALSE,"장축";#N/A,#N/A,FALSE,"4WD"}</definedName>
    <definedName name="ㅇㄹㅇ" hidden="1">{#N/A,#N/A,FALSE,"단축1";#N/A,#N/A,FALSE,"단축2";#N/A,#N/A,FALSE,"단축3";#N/A,#N/A,FALSE,"장축";#N/A,#N/A,FALSE,"4WD"}</definedName>
    <definedName name="ㅇㄹㅇㄹㅇ" localSheetId="0" hidden="1">{#N/A,#N/A,FALSE,"단축1";#N/A,#N/A,FALSE,"단축2";#N/A,#N/A,FALSE,"단축3";#N/A,#N/A,FALSE,"장축";#N/A,#N/A,FALSE,"4WD"}</definedName>
    <definedName name="ㅇㄹㅇㄹㅇ" hidden="1">{#N/A,#N/A,FALSE,"단축1";#N/A,#N/A,FALSE,"단축2";#N/A,#N/A,FALSE,"단축3";#N/A,#N/A,FALSE,"장축";#N/A,#N/A,FALSE,"4WD"}</definedName>
    <definedName name="ㅇ로노ㅗㅗ" localSheetId="0" hidden="1">{#N/A,#N/A,FALSE,"신규dep";#N/A,#N/A,FALSE,"신규dep-금형상각후";#N/A,#N/A,FALSE,"신규dep-연구비상각후";#N/A,#N/A,FALSE,"신규dep-기계,공구상각후"}</definedName>
    <definedName name="ㅇ로노ㅗㅗ" hidden="1">{#N/A,#N/A,FALSE,"신규dep";#N/A,#N/A,FALSE,"신규dep-금형상각후";#N/A,#N/A,FALSE,"신규dep-연구비상각후";#N/A,#N/A,FALSE,"신규dep-기계,공구상각후"}</definedName>
    <definedName name="ㅇㅀㅋㅇㄹ" localSheetId="0"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ㅇㄹㄹ" localSheetId="0"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ㅇㅇㅇㅇ" localSheetId="0" hidden="1">{#N/A,#N/A,FALSE,"단축1";#N/A,#N/A,FALSE,"단축2";#N/A,#N/A,FALSE,"단축3";#N/A,#N/A,FALSE,"장축";#N/A,#N/A,FALSE,"4WD"}</definedName>
    <definedName name="ㅇㅇㅇㅇㅇㅇㅇ" hidden="1">{#N/A,#N/A,FALSE,"단축1";#N/A,#N/A,FALSE,"단축2";#N/A,#N/A,FALSE,"단축3";#N/A,#N/A,FALSE,"장축";#N/A,#N/A,FALSE,"4WD"}</definedName>
    <definedName name="ㅇㅎ" localSheetId="0" hidden="1">{#N/A,#N/A,FALSE,"단축1";#N/A,#N/A,FALSE,"단축2";#N/A,#N/A,FALSE,"단축3";#N/A,#N/A,FALSE,"장축";#N/A,#N/A,FALSE,"4WD"}</definedName>
    <definedName name="ㅇㅎ" hidden="1">{#N/A,#N/A,FALSE,"단축1";#N/A,#N/A,FALSE,"단축2";#N/A,#N/A,FALSE,"단축3";#N/A,#N/A,FALSE,"장축";#N/A,#N/A,FALSE,"4WD"}</definedName>
    <definedName name="아니" localSheetId="0" hidden="1">{#N/A,#N/A,FALSE,"단축1";#N/A,#N/A,FALSE,"단축2";#N/A,#N/A,FALSE,"단축3";#N/A,#N/A,FALSE,"장축";#N/A,#N/A,FALSE,"4WD"}</definedName>
    <definedName name="아니" hidden="1">{#N/A,#N/A,FALSE,"단축1";#N/A,#N/A,FALSE,"단축2";#N/A,#N/A,FALSE,"단축3";#N/A,#N/A,FALSE,"장축";#N/A,#N/A,FALSE,"4WD"}</definedName>
    <definedName name="아니1" localSheetId="0" hidden="1">{#N/A,#N/A,FALSE,"단축1";#N/A,#N/A,FALSE,"단축2";#N/A,#N/A,FALSE,"단축3";#N/A,#N/A,FALSE,"장축";#N/A,#N/A,FALSE,"4WD"}</definedName>
    <definedName name="아니1" hidden="1">{#N/A,#N/A,FALSE,"단축1";#N/A,#N/A,FALSE,"단축2";#N/A,#N/A,FALSE,"단축3";#N/A,#N/A,FALSE,"장축";#N/A,#N/A,FALSE,"4WD"}</definedName>
    <definedName name="아라ㅏㅏ랑" localSheetId="0" hidden="1">{#N/A,#N/A,FALSE,"단축1";#N/A,#N/A,FALSE,"단축2";#N/A,#N/A,FALSE,"단축3";#N/A,#N/A,FALSE,"장축";#N/A,#N/A,FALSE,"4WD"}</definedName>
    <definedName name="아라ㅏㅏ랑" hidden="1">{#N/A,#N/A,FALSE,"단축1";#N/A,#N/A,FALSE,"단축2";#N/A,#N/A,FALSE,"단축3";#N/A,#N/A,FALSE,"장축";#N/A,#N/A,FALSE,"4WD"}</definedName>
    <definedName name="아래" localSheetId="0" hidden="1">{#N/A,#N/A,FALSE,"신규dep";#N/A,#N/A,FALSE,"신규dep-금형상각후";#N/A,#N/A,FALSE,"신규dep-연구비상각후";#N/A,#N/A,FALSE,"신규dep-기계,공구상각후"}</definedName>
    <definedName name="아래" hidden="1">{#N/A,#N/A,FALSE,"신규dep";#N/A,#N/A,FALSE,"신규dep-금형상각후";#N/A,#N/A,FALSE,"신규dep-연구비상각후";#N/A,#N/A,FALSE,"신규dep-기계,공구상각후"}</definedName>
    <definedName name="아러아ㅓㅏㅇㄹ" localSheetId="0" hidden="1">{#N/A,#N/A,FALSE,"단축1";#N/A,#N/A,FALSE,"단축2";#N/A,#N/A,FALSE,"단축3";#N/A,#N/A,FALSE,"장축";#N/A,#N/A,FALSE,"4WD"}</definedName>
    <definedName name="아러아ㅓㅏㅇㄹ" hidden="1">{#N/A,#N/A,FALSE,"단축1";#N/A,#N/A,FALSE,"단축2";#N/A,#N/A,FALSE,"단축3";#N/A,#N/A,FALSE,"장축";#N/A,#N/A,FALSE,"4WD"}</definedName>
    <definedName name="아버비" localSheetId="0" hidden="1">{#N/A,#N/A,FALSE,"단축1";#N/A,#N/A,FALSE,"단축2";#N/A,#N/A,FALSE,"단축3";#N/A,#N/A,FALSE,"장축";#N/A,#N/A,FALSE,"4WD"}</definedName>
    <definedName name="아버비" hidden="1">{#N/A,#N/A,FALSE,"단축1";#N/A,#N/A,FALSE,"단축2";#N/A,#N/A,FALSE,"단축3";#N/A,#N/A,FALSE,"장축";#N/A,#N/A,FALSE,"4WD"}</definedName>
    <definedName name="아아" localSheetId="0" hidden="1">{#N/A,#N/A,FALSE,"단축1";#N/A,#N/A,FALSE,"단축2";#N/A,#N/A,FALSE,"단축3";#N/A,#N/A,FALSE,"장축";#N/A,#N/A,FALSE,"4WD"}</definedName>
    <definedName name="아아" hidden="1">{#N/A,#N/A,FALSE,"단축1";#N/A,#N/A,FALSE,"단축2";#N/A,#N/A,FALSE,"단축3";#N/A,#N/A,FALSE,"장축";#N/A,#N/A,FALSE,"4WD"}</definedName>
    <definedName name="아이" localSheetId="0" hidden="1">{#N/A,#N/A,FALSE,"단축1";#N/A,#N/A,FALSE,"단축2";#N/A,#N/A,FALSE,"단축3";#N/A,#N/A,FALSE,"장축";#N/A,#N/A,FALSE,"4WD"}</definedName>
    <definedName name="아이" hidden="1">{#N/A,#N/A,FALSE,"단축1";#N/A,#N/A,FALSE,"단축2";#N/A,#N/A,FALSE,"단축3";#N/A,#N/A,FALSE,"장축";#N/A,#N/A,FALSE,"4WD"}</definedName>
    <definedName name="아ㅓ라어" localSheetId="0" hidden="1">{#N/A,#N/A,FALSE,"단축1";#N/A,#N/A,FALSE,"단축2";#N/A,#N/A,FALSE,"단축3";#N/A,#N/A,FALSE,"장축";#N/A,#N/A,FALSE,"4WD"}</definedName>
    <definedName name="아ㅓ라어" hidden="1">{#N/A,#N/A,FALSE,"단축1";#N/A,#N/A,FALSE,"단축2";#N/A,#N/A,FALSE,"단축3";#N/A,#N/A,FALSE,"장축";#N/A,#N/A,FALSE,"4WD"}</definedName>
    <definedName name="아ㅓㅏㄴ아ㅓㅣㅇ악기ㅣㅏㅇ" localSheetId="0" hidden="1">{#N/A,#N/A,FALSE,"신규dep";#N/A,#N/A,FALSE,"신규dep-금형상각후";#N/A,#N/A,FALSE,"신규dep-연구비상각후";#N/A,#N/A,FALSE,"신규dep-기계,공구상각후"}</definedName>
    <definedName name="아ㅓㅏㄴ아ㅓㅣㅇ악기ㅣㅏㅇ" hidden="1">{#N/A,#N/A,FALSE,"신규dep";#N/A,#N/A,FALSE,"신규dep-금형상각후";#N/A,#N/A,FALSE,"신규dep-연구비상각후";#N/A,#N/A,FALSE,"신규dep-기계,공구상각후"}</definedName>
    <definedName name="아ㅣㅇ" localSheetId="0"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별비교" localSheetId="0" hidden="1">{#N/A,#N/A,FALSE,"단축1";#N/A,#N/A,FALSE,"단축2";#N/A,#N/A,FALSE,"단축3";#N/A,#N/A,FALSE,"장축";#N/A,#N/A,FALSE,"4WD"}</definedName>
    <definedName name="안별비교" hidden="1">{#N/A,#N/A,FALSE,"단축1";#N/A,#N/A,FALSE,"단축2";#N/A,#N/A,FALSE,"단축3";#N/A,#N/A,FALSE,"장축";#N/A,#N/A,FALSE,"4WD"}</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알아랑러ㅣㄴ" localSheetId="0" hidden="1">{#N/A,#N/A,FALSE,"단축1";#N/A,#N/A,FALSE,"단축2";#N/A,#N/A,FALSE,"단축3";#N/A,#N/A,FALSE,"장축";#N/A,#N/A,FALSE,"4WD"}</definedName>
    <definedName name="알아랑러ㅣㄴ" hidden="1">{#N/A,#N/A,FALSE,"단축1";#N/A,#N/A,FALSE,"단축2";#N/A,#N/A,FALSE,"단축3";#N/A,#N/A,FALSE,"장축";#N/A,#N/A,FALSE,"4WD"}</definedName>
    <definedName name="알파Ⅰ" localSheetId="0" hidden="1">{#N/A,#N/A,FALSE,"단축1";#N/A,#N/A,FALSE,"단축2";#N/A,#N/A,FALSE,"단축3";#N/A,#N/A,FALSE,"장축";#N/A,#N/A,FALSE,"4WD"}</definedName>
    <definedName name="알파Ⅰ" hidden="1">{#N/A,#N/A,FALSE,"단축1";#N/A,#N/A,FALSE,"단축2";#N/A,#N/A,FALSE,"단축3";#N/A,#N/A,FALSE,"장축";#N/A,#N/A,FALSE,"4WD"}</definedName>
    <definedName name="액체연료연소">'[1]5-2. Emission Facility'!#REF!</definedName>
    <definedName name="양식" localSheetId="0" hidden="1">{#N/A,#N/A,FALSE,"단축1";#N/A,#N/A,FALSE,"단축2";#N/A,#N/A,FALSE,"단축3";#N/A,#N/A,FALSE,"장축";#N/A,#N/A,FALSE,"4WD"}</definedName>
    <definedName name="양식" hidden="1">{#N/A,#N/A,FALSE,"단축1";#N/A,#N/A,FALSE,"단축2";#N/A,#N/A,FALSE,"단축3";#N/A,#N/A,FALSE,"장축";#N/A,#N/A,FALSE,"4WD"}</definedName>
    <definedName name="양식3" localSheetId="0" hidden="1">{#N/A,#N/A,FALSE,"단축1";#N/A,#N/A,FALSE,"단축2";#N/A,#N/A,FALSE,"단축3";#N/A,#N/A,FALSE,"장축";#N/A,#N/A,FALSE,"4WD"}</definedName>
    <definedName name="양식3" hidden="1">{#N/A,#N/A,FALSE,"단축1";#N/A,#N/A,FALSE,"단축2";#N/A,#N/A,FALSE,"단축3";#N/A,#N/A,FALSE,"장축";#N/A,#N/A,FALSE,"4WD"}</definedName>
    <definedName name="양우석" localSheetId="0" hidden="1">{#N/A,#N/A,FALSE,"단축1";#N/A,#N/A,FALSE,"단축2";#N/A,#N/A,FALSE,"단축3";#N/A,#N/A,FALSE,"장축";#N/A,#N/A,FALSE,"4WD"}</definedName>
    <definedName name="양우석" hidden="1">{#N/A,#N/A,FALSE,"단축1";#N/A,#N/A,FALSE,"단축2";#N/A,#N/A,FALSE,"단축3";#N/A,#N/A,FALSE,"장축";#N/A,#N/A,FALSE,"4WD"}</definedName>
    <definedName name="어" localSheetId="0" hidden="1">{#N/A,#N/A,FALSE,"단축1";#N/A,#N/A,FALSE,"단축2";#N/A,#N/A,FALSE,"단축3";#N/A,#N/A,FALSE,"장축";#N/A,#N/A,FALSE,"4WD"}</definedName>
    <definedName name="어" hidden="1">{#N/A,#N/A,FALSE,"단축1";#N/A,#N/A,FALSE,"단축2";#N/A,#N/A,FALSE,"단축3";#N/A,#N/A,FALSE,"장축";#N/A,#N/A,FALSE,"4WD"}</definedName>
    <definedName name="언" localSheetId="0" hidden="1">{#N/A,#N/A,FALSE,"단축1";#N/A,#N/A,FALSE,"단축2";#N/A,#N/A,FALSE,"단축3";#N/A,#N/A,FALSE,"장축";#N/A,#N/A,FALSE,"4WD"}</definedName>
    <definedName name="언" hidden="1">{#N/A,#N/A,FALSE,"단축1";#N/A,#N/A,FALSE,"단축2";#N/A,#N/A,FALSE,"단축3";#N/A,#N/A,FALSE,"장축";#N/A,#N/A,FALSE,"4WD"}</definedName>
    <definedName name="업무분석표지" localSheetId="0" hidden="1">{#N/A,#N/A,FALSE,"협조전";#N/A,#N/A,FALSE,"원가절감계획 ";#N/A,#N/A,FALSE,"항목별원가절감계획"}</definedName>
    <definedName name="업무분석표지" hidden="1">{#N/A,#N/A,FALSE,"협조전";#N/A,#N/A,FALSE,"원가절감계획 ";#N/A,#N/A,FALSE,"항목별원가절감계획"}</definedName>
    <definedName name="업무실적4" localSheetId="0" hidden="1">{#N/A,#N/A,FALSE,"단축1";#N/A,#N/A,FALSE,"단축2";#N/A,#N/A,FALSE,"단축3";#N/A,#N/A,FALSE,"장축";#N/A,#N/A,FALSE,"4WD"}</definedName>
    <definedName name="업무실적4" hidden="1">{#N/A,#N/A,FALSE,"단축1";#N/A,#N/A,FALSE,"단축2";#N/A,#N/A,FALSE,"단축3";#N/A,#N/A,FALSE,"장축";#N/A,#N/A,FALSE,"4WD"}</definedName>
    <definedName name="업무실적aaa" localSheetId="0" hidden="1">{#N/A,#N/A,FALSE,"단축1";#N/A,#N/A,FALSE,"단축2";#N/A,#N/A,FALSE,"단축3";#N/A,#N/A,FALSE,"장축";#N/A,#N/A,FALSE,"4WD"}</definedName>
    <definedName name="업무실적aaa" hidden="1">{#N/A,#N/A,FALSE,"단축1";#N/A,#N/A,FALSE,"단축2";#N/A,#N/A,FALSE,"단축3";#N/A,#N/A,FALSE,"장축";#N/A,#N/A,FALSE,"4WD"}</definedName>
    <definedName name="업스트림운송배출계수">[6]배출계수!$B$58:$F$61</definedName>
    <definedName name="업체" localSheetId="0" hidden="1">{#N/A,#N/A,FALSE,"단축1";#N/A,#N/A,FALSE,"단축2";#N/A,#N/A,FALSE,"단축3";#N/A,#N/A,FALSE,"장축";#N/A,#N/A,FALSE,"4WD"}</definedName>
    <definedName name="업체" hidden="1">{#N/A,#N/A,FALSE,"단축1";#N/A,#N/A,FALSE,"단축2";#N/A,#N/A,FALSE,"단축3";#N/A,#N/A,FALSE,"장축";#N/A,#N/A,FALSE,"4WD"}</definedName>
    <definedName name="에상대수" localSheetId="0" hidden="1">{#N/A,#N/A,FALSE,"단축1";#N/A,#N/A,FALSE,"단축2";#N/A,#N/A,FALSE,"단축3";#N/A,#N/A,FALSE,"장축";#N/A,#N/A,FALSE,"4WD"}</definedName>
    <definedName name="에상대수"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엔진마운트" localSheetId="0" hidden="1">{#N/A,#N/A,FALSE,"표지";#N/A,#N/A,FALSE,"전제";#N/A,#N/A,FALSE,"손익-자 (2)";#N/A,#N/A,FALSE,"손익-자";#N/A,#N/A,FALSE,"손익-마 (2)";#N/A,#N/A,FALSE,"손익-마";#N/A,#N/A,FALSE,"총손최종"}</definedName>
    <definedName name="엔진마운트" hidden="1">{#N/A,#N/A,FALSE,"표지";#N/A,#N/A,FALSE,"전제";#N/A,#N/A,FALSE,"손익-자 (2)";#N/A,#N/A,FALSE,"손익-자";#N/A,#N/A,FALSE,"손익-마 (2)";#N/A,#N/A,FALSE,"손익-마";#N/A,#N/A,FALSE,"총손최종"}</definedName>
    <definedName name="엔진별" localSheetId="0" hidden="1">{#N/A,#N/A,FALSE,"품의서";#N/A,#N/A,FALSE,"전제";#N/A,#N/A,FALSE,"총손";#N/A,#N/A,FALSE,"손익"}</definedName>
    <definedName name="엔진별" hidden="1">{#N/A,#N/A,FALSE,"품의서";#N/A,#N/A,FALSE,"전제";#N/A,#N/A,FALSE,"총손";#N/A,#N/A,FALSE,"손익"}</definedName>
    <definedName name="엔진표지" localSheetId="0" hidden="1">{#N/A,#N/A,FALSE,"단축1";#N/A,#N/A,FALSE,"단축2";#N/A,#N/A,FALSE,"단축3";#N/A,#N/A,FALSE,"장축";#N/A,#N/A,FALSE,"4WD"}</definedName>
    <definedName name="엔진표지" hidden="1">{#N/A,#N/A,FALSE,"단축1";#N/A,#N/A,FALSE,"단축2";#N/A,#N/A,FALSE,"단축3";#N/A,#N/A,FALSE,"장축";#N/A,#N/A,FALSE,"4WD"}</definedName>
    <definedName name="엔터" localSheetId="0" hidden="1">{#N/A,#N/A,FALSE,"신규dep";#N/A,#N/A,FALSE,"신규dep-금형상각후";#N/A,#N/A,FALSE,"신규dep-연구비상각후";#N/A,#N/A,FALSE,"신규dep-기계,공구상각후"}</definedName>
    <definedName name="엔터" hidden="1">{#N/A,#N/A,FALSE,"신규dep";#N/A,#N/A,FALSE,"신규dep-금형상각후";#N/A,#N/A,FALSE,"신규dep-연구비상각후";#N/A,#N/A,FALSE,"신규dep-기계,공구상각후"}</definedName>
    <definedName name="여력" localSheetId="0" hidden="1">{#N/A,#N/A,TRUE,"Y생산";#N/A,#N/A,TRUE,"Y판매";#N/A,#N/A,TRUE,"Y총물량";#N/A,#N/A,TRUE,"Y능력";#N/A,#N/A,TRUE,"YKD"}</definedName>
    <definedName name="여력" hidden="1">{#N/A,#N/A,TRUE,"Y생산";#N/A,#N/A,TRUE,"Y판매";#N/A,#N/A,TRUE,"Y총물량";#N/A,#N/A,TRUE,"Y능력";#N/A,#N/A,TRUE,"YKD"}</definedName>
    <definedName name="여력인원" localSheetId="0" hidden="1">{#N/A,#N/A,FALSE,"96 3월물량표";#N/A,#N/A,FALSE,"96 4월물량표";#N/A,#N/A,FALSE,"96 5월물량표"}</definedName>
    <definedName name="여력인원" hidden="1">{#N/A,#N/A,FALSE,"96 3월물량표";#N/A,#N/A,FALSE,"96 4월물량표";#N/A,#N/A,FALSE,"96 5월물량표"}</definedName>
    <definedName name="연료">#REF!</definedName>
    <definedName name="연료고정">#REF!,#REF!,#REF!,#REF!,#REF!,#REF!,#REF!,#REF!,#REF!,#REF!,#REF!,#REF!,#REF!,#REF!,#REF!,#REF!,#REF!,#REF!</definedName>
    <definedName name="연료명고정">#REF!,#REF!,#REF!,#REF!,#REF!,#REF!,#REF!,#REF!,#REF!,#REF!,#REF!,#REF!,#REF!,#REF!,#REF!,#REF!,#REF!,#REF!</definedName>
    <definedName name="연료별밀도">'[6]Raw-Data - Category 3'!$E$19:$H$31</definedName>
    <definedName name="연료타입">[12]설비타입!$K$3:$K$5</definedName>
    <definedName name="연료탱크" localSheetId="0" hidden="1">{#N/A,#N/A,FALSE,"단축1";#N/A,#N/A,FALSE,"단축2";#N/A,#N/A,FALSE,"단축3";#N/A,#N/A,FALSE,"장축";#N/A,#N/A,FALSE,"4WD"}</definedName>
    <definedName name="연료탱크" hidden="1">{#N/A,#N/A,FALSE,"단축1";#N/A,#N/A,FALSE,"단축2";#N/A,#N/A,FALSE,"단축3";#N/A,#N/A,FALSE,"장축";#N/A,#N/A,FALSE,"4WD"}</definedName>
    <definedName name="연료탱크3" localSheetId="0" hidden="1">{#N/A,#N/A,FALSE,"단축1";#N/A,#N/A,FALSE,"단축2";#N/A,#N/A,FALSE,"단축3";#N/A,#N/A,FALSE,"장축";#N/A,#N/A,FALSE,"4WD"}</definedName>
    <definedName name="연료탱크3" hidden="1">{#N/A,#N/A,FALSE,"단축1";#N/A,#N/A,FALSE,"단축2";#N/A,#N/A,FALSE,"단축3";#N/A,#N/A,FALSE,"장축";#N/A,#N/A,FALSE,"4WD"}</definedName>
    <definedName name="열처리" localSheetId="0" hidden="1">{#N/A,#N/A,FALSE,"단축1";#N/A,#N/A,FALSE,"단축2";#N/A,#N/A,FALSE,"단축3";#N/A,#N/A,FALSE,"장축";#N/A,#N/A,FALSE,"4WD"}</definedName>
    <definedName name="열처리" hidden="1">{#N/A,#N/A,FALSE,"단축1";#N/A,#N/A,FALSE,"단축2";#N/A,#N/A,FALSE,"단축3";#N/A,#N/A,FALSE,"장축";#N/A,#N/A,FALSE,"4WD"}</definedName>
    <definedName name="영향도산출">#REF!</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2" localSheetId="0" hidden="1">{#N/A,#N/A,FALSE,"단축1";#N/A,#N/A,FALSE,"단축2";#N/A,#N/A,FALSE,"단축3";#N/A,#N/A,FALSE,"장축";#N/A,#N/A,FALSE,"4WD"}</definedName>
    <definedName name="예산2" hidden="1">{#N/A,#N/A,FALSE,"단축1";#N/A,#N/A,FALSE,"단축2";#N/A,#N/A,FALSE,"단축3";#N/A,#N/A,FALSE,"장축";#N/A,#N/A,FALSE,"4WD"}</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오수" localSheetId="0" hidden="1">{#N/A,#N/A,FALSE,"표지";#N/A,#N/A,FALSE,"을지1";#N/A,#N/A,FALSE,"일정1";#N/A,#N/A,FALSE,"일정2";#N/A,#N/A,FALSE,"11T-C";#N/A,#N/A,FALSE,"15T-D";#N/A,#N/A,FALSE,"판매현황";#N/A,#N/A,FALSE,"업무 FLOW"}</definedName>
    <definedName name="오수" hidden="1">{#N/A,#N/A,FALSE,"표지";#N/A,#N/A,FALSE,"을지1";#N/A,#N/A,FALSE,"일정1";#N/A,#N/A,FALSE,"일정2";#N/A,#N/A,FALSE,"11T-C";#N/A,#N/A,FALSE,"15T-D";#N/A,#N/A,FALSE,"판매현황";#N/A,#N/A,FALSE,"업무 FLOW"}</definedName>
    <definedName name="오정진" localSheetId="0" hidden="1">{#N/A,#N/A,FALSE,"96 3월물량표";#N/A,#N/A,FALSE,"96 4월물량표";#N/A,#N/A,FALSE,"96 5월물량표"}</definedName>
    <definedName name="오정진" hidden="1">{#N/A,#N/A,FALSE,"96 3월물량표";#N/A,#N/A,FALSE,"96 4월물량표";#N/A,#N/A,FALSE,"96 5월물량표"}</definedName>
    <definedName name="오존층파괴물질의대체물질사용">'[1]5-2. Emission Facility'!#REF!</definedName>
    <definedName name="와이어" localSheetId="0" hidden="1">{#N/A,#N/A,FALSE,"단축1";#N/A,#N/A,FALSE,"단축2";#N/A,#N/A,FALSE,"단축3";#N/A,#N/A,FALSE,"장축";#N/A,#N/A,FALSE,"4WD"}</definedName>
    <definedName name="와이어" hidden="1">{#N/A,#N/A,FALSE,"단축1";#N/A,#N/A,FALSE,"단축2";#N/A,#N/A,FALSE,"단축3";#N/A,#N/A,FALSE,"장축";#N/A,#N/A,FALSE,"4WD"}</definedName>
    <definedName name="외부소음영향" localSheetId="0" hidden="1">{#N/A,#N/A,FALSE,"단축1";#N/A,#N/A,FALSE,"단축2";#N/A,#N/A,FALSE,"단축3";#N/A,#N/A,FALSE,"장축";#N/A,#N/A,FALSE,"4WD"}</definedName>
    <definedName name="외부소음영향" hidden="1">{#N/A,#N/A,FALSE,"단축1";#N/A,#N/A,FALSE,"단축2";#N/A,#N/A,FALSE,"단축3";#N/A,#N/A,FALSE,"장축";#N/A,#N/A,FALSE,"4WD"}</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영방안" localSheetId="0" hidden="1">{#N/A,#N/A,FALSE,"단축1";#N/A,#N/A,FALSE,"단축2";#N/A,#N/A,FALSE,"단축3";#N/A,#N/A,FALSE,"장축";#N/A,#N/A,FALSE,"4WD"}</definedName>
    <definedName name="운영방안" hidden="1">{#N/A,#N/A,FALSE,"단축1";#N/A,#N/A,FALSE,"단축2";#N/A,#N/A,FALSE,"단축3";#N/A,#N/A,FALSE,"장축";#N/A,#N/A,FALSE,"4WD"}</definedName>
    <definedName name="운영방침1" localSheetId="0" hidden="1">{#N/A,#N/A,FALSE,"협조전";#N/A,#N/A,FALSE,"원가절감계획 ";#N/A,#N/A,FALSE,"항목별원가절감계획"}</definedName>
    <definedName name="운영방침1" hidden="1">{#N/A,#N/A,FALSE,"협조전";#N/A,#N/A,FALSE,"원가절감계획 ";#N/A,#N/A,FALSE,"항목별원가절감계획"}</definedName>
    <definedName name="원가계획">#REF!</definedName>
    <definedName name="원가절감" localSheetId="0" hidden="1">{#N/A,#N/A,TRUE,"Y생산";#N/A,#N/A,TRUE,"Y판매";#N/A,#N/A,TRUE,"Y총물량";#N/A,#N/A,TRUE,"Y능력";#N/A,#N/A,TRUE,"YKD"}</definedName>
    <definedName name="원가절감" hidden="1">{#N/A,#N/A,TRUE,"Y생산";#N/A,#N/A,TRUE,"Y판매";#N/A,#N/A,TRUE,"Y총물량";#N/A,#N/A,TRUE,"Y능력";#N/A,#N/A,TRUE,"YKD"}</definedName>
    <definedName name="원단" localSheetId="0" hidden="1">{#N/A,#N/A,TRUE,"Y생산";#N/A,#N/A,TRUE,"Y판매";#N/A,#N/A,TRUE,"Y총물량";#N/A,#N/A,TRUE,"Y능력";#N/A,#N/A,TRUE,"YKD"}</definedName>
    <definedName name="원단" hidden="1">{#N/A,#N/A,TRUE,"Y생산";#N/A,#N/A,TRUE,"Y판매";#N/A,#N/A,TRUE,"Y총물량";#N/A,#N/A,TRUE,"Y능력";#N/A,#N/A,TRUE,"YKD"}</definedName>
    <definedName name="원료">#REF!</definedName>
    <definedName name="원료및에너지탄소발자국">'[6]#배출계수 환경성적표지_원료, 에너지,폐기물'!$C$7:$E$250</definedName>
    <definedName name="원자재종합" localSheetId="0" hidden="1">{#N/A,#N/A,FALSE,"단축1";#N/A,#N/A,FALSE,"단축2";#N/A,#N/A,FALSE,"단축3";#N/A,#N/A,FALSE,"장축";#N/A,#N/A,FALSE,"4WD"}</definedName>
    <definedName name="원자재종합" hidden="1">{#N/A,#N/A,FALSE,"단축1";#N/A,#N/A,FALSE,"단축2";#N/A,#N/A,FALSE,"단축3";#N/A,#N/A,FALSE,"장축";#N/A,#N/A,FALSE,"4WD"}</definedName>
    <definedName name="유경" localSheetId="0" hidden="1">{#N/A,#N/A,FALSE,"단축1";#N/A,#N/A,FALSE,"단축2";#N/A,#N/A,FALSE,"단축3";#N/A,#N/A,FALSE,"장축";#N/A,#N/A,FALSE,"4WD"}</definedName>
    <definedName name="유경" hidden="1">{#N/A,#N/A,FALSE,"단축1";#N/A,#N/A,FALSE,"단축2";#N/A,#N/A,FALSE,"단축3";#N/A,#N/A,FALSE,"장축";#N/A,#N/A,FALSE,"4WD"}</definedName>
    <definedName name="유니버스1" localSheetId="0" hidden="1">{#N/A,#N/A,FALSE,"표지";#N/A,#N/A,FALSE,"전제";#N/A,#N/A,FALSE,"손익-자 (2)";#N/A,#N/A,FALSE,"손익-자";#N/A,#N/A,FALSE,"손익-마 (2)";#N/A,#N/A,FALSE,"손익-마";#N/A,#N/A,FALSE,"총손최종"}</definedName>
    <definedName name="유니버스1" hidden="1">{#N/A,#N/A,FALSE,"표지";#N/A,#N/A,FALSE,"전제";#N/A,#N/A,FALSE,"손익-자 (2)";#N/A,#N/A,FALSE,"손익-자";#N/A,#N/A,FALSE,"손익-마 (2)";#N/A,#N/A,FALSE,"손익-마";#N/A,#N/A,FALSE,"총손최종"}</definedName>
    <definedName name="유니버스신규" localSheetId="0" hidden="1">{#N/A,#N/A,FALSE,"단축1";#N/A,#N/A,FALSE,"단축2";#N/A,#N/A,FALSE,"단축3";#N/A,#N/A,FALSE,"장축";#N/A,#N/A,FALSE,"4WD"}</definedName>
    <definedName name="유니버스신규" hidden="1">{#N/A,#N/A,FALSE,"단축1";#N/A,#N/A,FALSE,"단축2";#N/A,#N/A,FALSE,"단축3";#N/A,#N/A,FALSE,"장축";#N/A,#N/A,FALSE,"4WD"}</definedName>
    <definedName name="유형" localSheetId="0" hidden="1">{#N/A,#N/A,TRUE,"Y생산";#N/A,#N/A,TRUE,"Y판매";#N/A,#N/A,TRUE,"Y총물량";#N/A,#N/A,TRUE,"Y능력";#N/A,#N/A,TRUE,"YKD"}</definedName>
    <definedName name="유형" hidden="1">{#N/A,#N/A,TRUE,"Y생산";#N/A,#N/A,TRUE,"Y판매";#N/A,#N/A,TRUE,"Y총물량";#N/A,#N/A,TRUE,"Y능력";#N/A,#N/A,TRUE,"YKD"}</definedName>
    <definedName name="이게먼데.." localSheetId="0" hidden="1">{#N/A,#N/A,FALSE,"단축1";#N/A,#N/A,FALSE,"단축2";#N/A,#N/A,FALSE,"단축3";#N/A,#N/A,FALSE,"장축";#N/A,#N/A,FALSE,"4WD"}</definedName>
    <definedName name="이게먼데.." hidden="1">{#N/A,#N/A,FALSE,"단축1";#N/A,#N/A,FALSE,"단축2";#N/A,#N/A,FALSE,"단축3";#N/A,#N/A,FALSE,"장축";#N/A,#N/A,FALSE,"4WD"}</definedName>
    <definedName name="이경재2" localSheetId="0" hidden="1">{#N/A,#N/A,FALSE,"품의서";#N/A,#N/A,FALSE,"전제";#N/A,#N/A,FALSE,"총손";#N/A,#N/A,FALSE,"손익"}</definedName>
    <definedName name="이경재2" hidden="1">{#N/A,#N/A,FALSE,"품의서";#N/A,#N/A,FALSE,"전제";#N/A,#N/A,FALSE,"총손";#N/A,#N/A,FALSE,"손익"}</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동연소_도로">'[1]5-2. Emission Facility'!#REF!</definedName>
    <definedName name="이동연소_선박">'[1]5-2. Emission Facility'!#REF!</definedName>
    <definedName name="이동연소_철도">'[1]5-2. Emission Facility'!#REF!</definedName>
    <definedName name="이동연소_항공">'[1]5-2. Emission Facility'!#REF!</definedName>
    <definedName name="이동연소배출계수">[6]배출계수!$C$8:$M$12</definedName>
    <definedName name="이란" localSheetId="0" hidden="1">{#N/A,#N/A,FALSE,"단축1";#N/A,#N/A,FALSE,"단축2";#N/A,#N/A,FALSE,"단축3";#N/A,#N/A,FALSE,"장축";#N/A,#N/A,FALSE,"4WD"}</definedName>
    <definedName name="이란" hidden="1">{#N/A,#N/A,FALSE,"단축1";#N/A,#N/A,FALSE,"단축2";#N/A,#N/A,FALSE,"단축3";#N/A,#N/A,FALSE,"장축";#N/A,#N/A,FALSE,"4WD"}</definedName>
    <definedName name="이름충돌\" localSheetId="0" hidden="1">{#N/A,#N/A,TRUE,"Y생산";#N/A,#N/A,TRUE,"Y판매";#N/A,#N/A,TRUE,"Y총물량";#N/A,#N/A,TRUE,"Y능력";#N/A,#N/A,TRUE,"YKD"}</definedName>
    <definedName name="이름충돌\" hidden="1">{#N/A,#N/A,TRUE,"Y생산";#N/A,#N/A,TRUE,"Y판매";#N/A,#N/A,TRUE,"Y총물량";#N/A,#N/A,TRUE,"Y능력";#N/A,#N/A,TRUE,"YKD"}</definedName>
    <definedName name="이상진">#REF!</definedName>
    <definedName name="이시혁" localSheetId="0" hidden="1">{#N/A,#N/A,FALSE,"단축1";#N/A,#N/A,FALSE,"단축2";#N/A,#N/A,FALSE,"단축3";#N/A,#N/A,FALSE,"장축";#N/A,#N/A,FALSE,"4WD"}</definedName>
    <definedName name="이시혁" hidden="1">{#N/A,#N/A,FALSE,"단축1";#N/A,#N/A,FALSE,"단축2";#N/A,#N/A,FALSE,"단축3";#N/A,#N/A,FALSE,"장축";#N/A,#N/A,FALSE,"4WD"}</definedName>
    <definedName name="이태리리" localSheetId="0" hidden="1">{#N/A,#N/A,FALSE,"신규dep";#N/A,#N/A,FALSE,"신규dep-금형상각후";#N/A,#N/A,FALSE,"신규dep-연구비상각후";#N/A,#N/A,FALSE,"신규dep-기계,공구상각후"}</definedName>
    <definedName name="이태리리" hidden="1">{#N/A,#N/A,FALSE,"신규dep";#N/A,#N/A,FALSE,"신규dep-금형상각후";#N/A,#N/A,FALSE,"신규dep-연구비상각후";#N/A,#N/A,FALSE,"신규dep-기계,공구상각후"}</definedName>
    <definedName name="이픔" localSheetId="0" hidden="1">{#N/A,#N/A,FALSE,"표지";#N/A,#N/A,FALSE,"전제";#N/A,#N/A,FALSE,"손익-자 (2)";#N/A,#N/A,FALSE,"손익-자";#N/A,#N/A,FALSE,"손익-마 (2)";#N/A,#N/A,FALSE,"손익-마";#N/A,#N/A,FALSE,"총손최종"}</definedName>
    <definedName name="이픔" hidden="1">{#N/A,#N/A,FALSE,"표지";#N/A,#N/A,FALSE,"전제";#N/A,#N/A,FALSE,"손익-자 (2)";#N/A,#N/A,FALSE,"손익-자";#N/A,#N/A,FALSE,"손익-마 (2)";#N/A,#N/A,FALSE,"손익-마";#N/A,#N/A,FALSE,"총손최종"}</definedName>
    <definedName name="이ㅏㅏㅇ강리ㅏㅇ러" localSheetId="0" hidden="1">{#N/A,#N/A,FALSE,"단축1";#N/A,#N/A,FALSE,"단축2";#N/A,#N/A,FALSE,"단축3";#N/A,#N/A,FALSE,"장축";#N/A,#N/A,FALSE,"4WD"}</definedName>
    <definedName name="이ㅏㅏㅇ강리ㅏㅇ러" hidden="1">{#N/A,#N/A,FALSE,"단축1";#N/A,#N/A,FALSE,"단축2";#N/A,#N/A,FALSE,"단축3";#N/A,#N/A,FALSE,"장축";#N/A,#N/A,FALSE,"4WD"}</definedName>
    <definedName name="이ㅣㄴ" localSheetId="0" hidden="1">{#N/A,#N/A,FALSE,"단축1";#N/A,#N/A,FALSE,"단축2";#N/A,#N/A,FALSE,"단축3";#N/A,#N/A,FALSE,"장축";#N/A,#N/A,FALSE,"4WD"}</definedName>
    <definedName name="이ㅣㄴ" hidden="1">{#N/A,#N/A,FALSE,"단축1";#N/A,#N/A,FALSE,"단축2";#N/A,#N/A,FALSE,"단축3";#N/A,#N/A,FALSE,"장축";#N/A,#N/A,FALSE,"4WD"}</definedName>
    <definedName name="인계획" localSheetId="0" hidden="1">{#N/A,#N/A,TRUE,"Y생산";#N/A,#N/A,TRUE,"Y판매";#N/A,#N/A,TRUE,"Y총물량";#N/A,#N/A,TRUE,"Y능력";#N/A,#N/A,TRUE,"YKD"}</definedName>
    <definedName name="인계획" hidden="1">{#N/A,#N/A,TRUE,"Y생산";#N/A,#N/A,TRUE,"Y판매";#N/A,#N/A,TRUE,"Y총물량";#N/A,#N/A,TRUE,"Y능력";#N/A,#N/A,TRUE,"YKD"}</definedName>
    <definedName name="인상1안" localSheetId="0" hidden="1">{#N/A,#N/A,FALSE,"단축1";#N/A,#N/A,FALSE,"단축2";#N/A,#N/A,FALSE,"단축3";#N/A,#N/A,FALSE,"장축";#N/A,#N/A,FALSE,"4WD"}</definedName>
    <definedName name="인상1안" hidden="1">{#N/A,#N/A,FALSE,"단축1";#N/A,#N/A,FALSE,"단축2";#N/A,#N/A,FALSE,"단축3";#N/A,#N/A,FALSE,"장축";#N/A,#N/A,FALSE,"4WD"}</definedName>
    <definedName name="인원세부" localSheetId="0" hidden="1">{#N/A,#N/A,TRUE,"Y생산";#N/A,#N/A,TRUE,"Y판매";#N/A,#N/A,TRUE,"Y총물량";#N/A,#N/A,TRUE,"Y능력";#N/A,#N/A,TRUE,"YKD"}</definedName>
    <definedName name="인원세부" hidden="1">{#N/A,#N/A,TRUE,"Y생산";#N/A,#N/A,TRUE,"Y판매";#N/A,#N/A,TRUE,"Y총물량";#N/A,#N/A,TRUE,"Y능력";#N/A,#N/A,TRUE,"YKD"}</definedName>
    <definedName name="인절" localSheetId="0" hidden="1">{#N/A,#N/A,FALSE,"표지";#N/A,#N/A,FALSE,"전제";#N/A,#N/A,FALSE,"손익-자 (2)";#N/A,#N/A,FALSE,"손익-자";#N/A,#N/A,FALSE,"손익-마 (2)";#N/A,#N/A,FALSE,"손익-마";#N/A,#N/A,FALSE,"총손최종"}</definedName>
    <definedName name="인절" hidden="1">{#N/A,#N/A,FALSE,"표지";#N/A,#N/A,FALSE,"전제";#N/A,#N/A,FALSE,"손익-자 (2)";#N/A,#N/A,FALSE,"손익-자";#N/A,#N/A,FALSE,"손익-마 (2)";#N/A,#N/A,FALSE,"손익-마";#N/A,#N/A,FALSE,"총손최종"}</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일정" localSheetId="0" hidden="1">{#N/A,#N/A,FALSE,"단축1";#N/A,#N/A,FALSE,"단축2";#N/A,#N/A,FALSE,"단축3";#N/A,#N/A,FALSE,"장축";#N/A,#N/A,FALSE,"4WD"}</definedName>
    <definedName name="일정" hidden="1">{#N/A,#N/A,FALSE,"단축1";#N/A,#N/A,FALSE,"단축2";#N/A,#N/A,FALSE,"단축3";#N/A,#N/A,FALSE,"장축";#N/A,#N/A,FALSE,"4WD"}</definedName>
    <definedName name="임" localSheetId="0" hidden="1">{#N/A,#N/A,FALSE,"단축1";#N/A,#N/A,FALSE,"단축2";#N/A,#N/A,FALSE,"단축3";#N/A,#N/A,FALSE,"장축";#N/A,#N/A,FALSE,"4WD"}</definedName>
    <definedName name="임" hidden="1">{#N/A,#N/A,FALSE,"단축1";#N/A,#N/A,FALSE,"단축2";#N/A,#N/A,FALSE,"단축3";#N/A,#N/A,FALSE,"장축";#N/A,#N/A,FALSE,"4WD"}</definedName>
    <definedName name="임시2" localSheetId="0" hidden="1">{#N/A,#N/A,FALSE,"단축1";#N/A,#N/A,FALSE,"단축2";#N/A,#N/A,FALSE,"단축3";#N/A,#N/A,FALSE,"장축";#N/A,#N/A,FALSE,"4WD"}</definedName>
    <definedName name="임시2" hidden="1">{#N/A,#N/A,FALSE,"단축1";#N/A,#N/A,FALSE,"단축2";#N/A,#N/A,FALSE,"단축3";#N/A,#N/A,FALSE,"장축";#N/A,#N/A,FALSE,"4WD"}</definedName>
    <definedName name="ㅈ" localSheetId="0" hidden="1">{#N/A,#N/A,TRUE,"Y생산";#N/A,#N/A,TRUE,"Y판매";#N/A,#N/A,TRUE,"Y총물량";#N/A,#N/A,TRUE,"Y능력";#N/A,#N/A,TRUE,"YKD"}</definedName>
    <definedName name="ㅈ" hidden="1">{#N/A,#N/A,TRUE,"Y생산";#N/A,#N/A,TRUE,"Y판매";#N/A,#N/A,TRUE,"Y총물량";#N/A,#N/A,TRUE,"Y능력";#N/A,#N/A,TRUE,"YKD"}</definedName>
    <definedName name="ㅈㄴㅇ" localSheetId="0" hidden="1">{#N/A,#N/A,FALSE,"단축1";#N/A,#N/A,FALSE,"단축2";#N/A,#N/A,FALSE,"단축3";#N/A,#N/A,FALSE,"장축";#N/A,#N/A,FALSE,"4WD"}</definedName>
    <definedName name="ㅈㄴㅇ" hidden="1">{#N/A,#N/A,FALSE,"단축1";#N/A,#N/A,FALSE,"단축2";#N/A,#N/A,FALSE,"단축3";#N/A,#N/A,FALSE,"장축";#N/A,#N/A,FALSE,"4WD"}</definedName>
    <definedName name="ㅈㄷㄷ젿랴져ㅕㅍ초ㅓ" localSheetId="0" hidden="1">{#N/A,#N/A,FALSE,"표지";#N/A,#N/A,FALSE,"전제";#N/A,#N/A,FALSE,"손익-자 (2)";#N/A,#N/A,FALSE,"손익-자";#N/A,#N/A,FALSE,"손익-마 (2)";#N/A,#N/A,FALSE,"손익-마";#N/A,#N/A,FALSE,"총손최종"}</definedName>
    <definedName name="ㅈㄷㄷ젿랴져ㅕㅍ초ㅓ" hidden="1">{#N/A,#N/A,FALSE,"표지";#N/A,#N/A,FALSE,"전제";#N/A,#N/A,FALSE,"손익-자 (2)";#N/A,#N/A,FALSE,"손익-자";#N/A,#N/A,FALSE,"손익-마 (2)";#N/A,#N/A,FALSE,"손익-마";#N/A,#N/A,FALSE,"총손최종"}</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{#N/A,#N/A,TRUE,"Y생산";#N/A,#N/A,TRUE,"Y판매";#N/A,#N/A,TRUE,"Y총물량";#N/A,#N/A,TRUE,"Y능력";#N/A,#N/A,TRUE,"YKD"}</definedName>
    <definedName name="ㅈㅈㅈㅈ" hidden="1">{#N/A,#N/A,TRUE,"Y생산";#N/A,#N/A,TRUE,"Y판매";#N/A,#N/A,TRUE,"Y총물량";#N/A,#N/A,TRUE,"Y능력";#N/A,#N/A,TRUE,"YKD"}</definedName>
    <definedName name="ㅈㅍ슢ㄴ" localSheetId="0" hidden="1">{#N/A,#N/A,FALSE,"´UA";#N/A,#N/A,FALSE,"´UA";#N/A,#N/A,FALSE,"´UA";#N/A,#N/A,FALSE,"Aa";#N/A,#N/A,FALSE,"4WD"}</definedName>
    <definedName name="ㅈㅍ슢ㄴ" hidden="1">{#N/A,#N/A,FALSE,"´UA";#N/A,#N/A,FALSE,"´UA";#N/A,#N/A,FALSE,"´UA";#N/A,#N/A,FALSE,"Aa";#N/A,#N/A,FALSE,"4WD"}</definedName>
    <definedName name="자료" localSheetId="0" hidden="1">{#N/A,#N/A,FALSE,"단축1";#N/A,#N/A,FALSE,"단축2";#N/A,#N/A,FALSE,"단축3";#N/A,#N/A,FALSE,"장축";#N/A,#N/A,FALSE,"4WD"}</definedName>
    <definedName name="자료" hidden="1">{#N/A,#N/A,FALSE,"단축1";#N/A,#N/A,FALSE,"단축2";#N/A,#N/A,FALSE,"단축3";#N/A,#N/A,FALSE,"장축";#N/A,#N/A,FALSE,"4WD"}</definedName>
    <definedName name="자재1" localSheetId="0" hidden="1">{#N/A,#N/A,FALSE,"단축1";#N/A,#N/A,FALSE,"단축2";#N/A,#N/A,FALSE,"단축3";#N/A,#N/A,FALSE,"장축";#N/A,#N/A,FALSE,"4WD"}</definedName>
    <definedName name="자재1" hidden="1">{#N/A,#N/A,FALSE,"단축1";#N/A,#N/A,FALSE,"단축2";#N/A,#N/A,FALSE,"단축3";#N/A,#N/A,FALSE,"장축";#N/A,#N/A,FALSE,"4WD"}</definedName>
    <definedName name="자재2" localSheetId="0" hidden="1">{#N/A,#N/A,FALSE,"단축1";#N/A,#N/A,FALSE,"단축2";#N/A,#N/A,FALSE,"단축3";#N/A,#N/A,FALSE,"장축";#N/A,#N/A,FALSE,"4WD"}</definedName>
    <definedName name="자재2" hidden="1">{#N/A,#N/A,FALSE,"단축1";#N/A,#N/A,FALSE,"단축2";#N/A,#N/A,FALSE,"단축3";#N/A,#N/A,FALSE,"장축";#N/A,#N/A,FALSE,"4WD"}</definedName>
    <definedName name="자재3" localSheetId="0" hidden="1">{#N/A,#N/A,FALSE,"단축1";#N/A,#N/A,FALSE,"단축2";#N/A,#N/A,FALSE,"단축3";#N/A,#N/A,FALSE,"장축";#N/A,#N/A,FALSE,"4WD"}</definedName>
    <definedName name="자재3"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비비" localSheetId="0"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재료예산" localSheetId="0" hidden="1">{#N/A,#N/A,FALSE,"단축1";#N/A,#N/A,FALSE,"단축2";#N/A,#N/A,FALSE,"단축3";#N/A,#N/A,FALSE,"장축";#N/A,#N/A,FALSE,"4WD"}</definedName>
    <definedName name="재료예산" hidden="1">{#N/A,#N/A,FALSE,"단축1";#N/A,#N/A,FALSE,"단축2";#N/A,#N/A,FALSE,"단축3";#N/A,#N/A,FALSE,"장축";#N/A,#N/A,FALSE,"4WD"}</definedName>
    <definedName name="재재ㅐㅣㅣㄴ로괴이ㅣㄱ" localSheetId="0" hidden="1">{#N/A,#N/A,FALSE,"단축1";#N/A,#N/A,FALSE,"단축2";#N/A,#N/A,FALSE,"단축3";#N/A,#N/A,FALSE,"장축";#N/A,#N/A,FALSE,"4WD"}</definedName>
    <definedName name="재재ㅐㅣㅣㄴ로괴이ㅣㄱ" hidden="1">{#N/A,#N/A,FALSE,"단축1";#N/A,#N/A,FALSE,"단축2";#N/A,#N/A,FALSE,"단축3";#N/A,#N/A,FALSE,"장축";#N/A,#N/A,FALSE,"4WD"}</definedName>
    <definedName name="쟈겯ㅈ" localSheetId="0" hidden="1">{#N/A,#N/A,FALSE,"단축1";#N/A,#N/A,FALSE,"단축2";#N/A,#N/A,FALSE,"단축3";#N/A,#N/A,FALSE,"장축";#N/A,#N/A,FALSE,"4WD"}</definedName>
    <definedName name="쟈겯ㅈ" hidden="1">{#N/A,#N/A,FALSE,"단축1";#N/A,#N/A,FALSE,"단축2";#N/A,#N/A,FALSE,"단축3";#N/A,#N/A,FALSE,"장축";#N/A,#N/A,FALSE,"4WD"}</definedName>
    <definedName name="전" localSheetId="0" hidden="1">{#N/A,#N/A,FALSE,"단축1";#N/A,#N/A,FALSE,"단축2";#N/A,#N/A,FALSE,"단축3";#N/A,#N/A,FALSE,"장축";#N/A,#N/A,FALSE,"4WD"}</definedName>
    <definedName name="전" hidden="1">{#N/A,#N/A,FALSE,"단축1";#N/A,#N/A,FALSE,"단축2";#N/A,#N/A,FALSE,"단축3";#N/A,#N/A,FALSE,"장축";#N/A,#N/A,FALSE,"4WD"}</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부" localSheetId="0" hidden="1">{#N/A,#N/A,FALSE,"단축1";#N/A,#N/A,FALSE,"단축2";#N/A,#N/A,FALSE,"단축3";#N/A,#N/A,FALSE,"장축";#N/A,#N/A,FALSE,"4WD"}</definedName>
    <definedName name="전부" hidden="1">{#N/A,#N/A,FALSE,"단축1";#N/A,#N/A,FALSE,"단축2";#N/A,#N/A,FALSE,"단축3";#N/A,#N/A,FALSE,"장축";#N/A,#N/A,FALSE,"4WD"}</definedName>
    <definedName name="전시" localSheetId="0" hidden="1">{#N/A,#N/A,FALSE,"신규dep";#N/A,#N/A,FALSE,"신규dep-금형상각후";#N/A,#N/A,FALSE,"신규dep-연구비상각후";#N/A,#N/A,FALSE,"신규dep-기계,공구상각후"}</definedName>
    <definedName name="전시" hidden="1">{#N/A,#N/A,FALSE,"신규dep";#N/A,#N/A,FALSE,"신규dep-금형상각후";#N/A,#N/A,FALSE,"신규dep-연구비상각후";#N/A,#N/A,FALSE,"신규dep-기계,공구상각후"}</definedName>
    <definedName name="전차종" localSheetId="0" hidden="1">{#N/A,#N/A,FALSE,"표지";#N/A,#N/A,FALSE,"전제";#N/A,#N/A,FALSE,"대당";#N/A,#N/A,FALSE,"가공비";#N/A,#N/A,FALSE,"재료비";#N/A,#N/A,FALSE,"손익"}</definedName>
    <definedName name="전차종" hidden="1">{#N/A,#N/A,FALSE,"표지";#N/A,#N/A,FALSE,"전제";#N/A,#N/A,FALSE,"대당";#N/A,#N/A,FALSE,"가공비";#N/A,#N/A,FALSE,"재료비";#N/A,#N/A,FALSE,"손익"}</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통" localSheetId="0" hidden="1">{#N/A,#N/A,FALSE,"신규dep";#N/A,#N/A,FALSE,"신규dep-금형상각후";#N/A,#N/A,FALSE,"신규dep-연구비상각후";#N/A,#N/A,FALSE,"신규dep-기계,공구상각후"}</definedName>
    <definedName name="전통" hidden="1">{#N/A,#N/A,FALSE,"신규dep";#N/A,#N/A,FALSE,"신규dep-금형상각후";#N/A,#N/A,FALSE,"신규dep-연구비상각후";#N/A,#N/A,FALSE,"신규dep-기계,공구상각후"}</definedName>
    <definedName name="전후" localSheetId="0" hidden="1">{#N/A,#N/A,FALSE,"단축1";#N/A,#N/A,FALSE,"단축2";#N/A,#N/A,FALSE,"단축3";#N/A,#N/A,FALSE,"장축";#N/A,#N/A,FALSE,"4WD"}</definedName>
    <definedName name="전후" hidden="1">{#N/A,#N/A,FALSE,"단축1";#N/A,#N/A,FALSE,"단축2";#N/A,#N/A,FALSE,"단축3";#N/A,#N/A,FALSE,"장축";#N/A,#N/A,FALSE,"4WD"}</definedName>
    <definedName name="전후분석" localSheetId="0" hidden="1">{#N/A,#N/A,FALSE,"단축1";#N/A,#N/A,FALSE,"단축2";#N/A,#N/A,FALSE,"단축3";#N/A,#N/A,FALSE,"장축";#N/A,#N/A,FALSE,"4WD"}</definedName>
    <definedName name="전후분석" hidden="1">{#N/A,#N/A,FALSE,"단축1";#N/A,#N/A,FALSE,"단축2";#N/A,#N/A,FALSE,"단축3";#N/A,#N/A,FALSE,"장축";#N/A,#N/A,FALSE,"4WD"}</definedName>
    <definedName name="전후분석을" localSheetId="0" hidden="1">{#N/A,#N/A,FALSE,"단축1";#N/A,#N/A,FALSE,"단축2";#N/A,#N/A,FALSE,"단축3";#N/A,#N/A,FALSE,"장축";#N/A,#N/A,FALSE,"4WD"}</definedName>
    <definedName name="전후분석을" hidden="1">{#N/A,#N/A,FALSE,"단축1";#N/A,#N/A,FALSE,"단축2";#N/A,#N/A,FALSE,"단축3";#N/A,#N/A,FALSE,"장축";#N/A,#N/A,FALSE,"4WD"}</definedName>
    <definedName name="점부10" localSheetId="0" hidden="1">{#N/A,#N/A,FALSE,"단축1";#N/A,#N/A,FALSE,"단축2";#N/A,#N/A,FALSE,"단축3";#N/A,#N/A,FALSE,"장축";#N/A,#N/A,FALSE,"4WD"}</definedName>
    <definedName name="점부10" hidden="1">{#N/A,#N/A,FALSE,"단축1";#N/A,#N/A,FALSE,"단축2";#N/A,#N/A,FALSE,"단축3";#N/A,#N/A,FALSE,"장축";#N/A,#N/A,FALSE,"4WD"}</definedName>
    <definedName name="정" localSheetId="0" hidden="1">{#N/A,#N/A,FALSE,"단축1";#N/A,#N/A,FALSE,"단축2";#N/A,#N/A,FALSE,"단축3";#N/A,#N/A,FALSE,"장축";#N/A,#N/A,FALSE,"4WD"}</definedName>
    <definedName name="정" hidden="1">{#N/A,#N/A,FALSE,"단축1";#N/A,#N/A,FALSE,"단축2";#N/A,#N/A,FALSE,"단축3";#N/A,#N/A,FALSE,"장축";#N/A,#N/A,FALSE,"4WD"}</definedName>
    <definedName name="정상입사1" localSheetId="0" hidden="1">{#N/A,#N/A,FALSE,"단축1";#N/A,#N/A,FALSE,"단축2";#N/A,#N/A,FALSE,"단축3";#N/A,#N/A,FALSE,"장축";#N/A,#N/A,FALSE,"4WD"}</definedName>
    <definedName name="정상입사1" hidden="1">{#N/A,#N/A,FALSE,"단축1";#N/A,#N/A,FALSE,"단축2";#N/A,#N/A,FALSE,"단축3";#N/A,#N/A,FALSE,"장축";#N/A,#N/A,FALSE,"4WD"}</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유공정">[12]공정배출목록!$E$2:$E$11</definedName>
    <definedName name="제목">#REF!</definedName>
    <definedName name="제조" localSheetId="0" hidden="1">{#N/A,#N/A,FALSE,"단축1";#N/A,#N/A,FALSE,"단축2";#N/A,#N/A,FALSE,"단축3";#N/A,#N/A,FALSE,"장축";#N/A,#N/A,FALSE,"4WD"}</definedName>
    <definedName name="제조" hidden="1">{#N/A,#N/A,FALSE,"단축1";#N/A,#N/A,FALSE,"단축2";#N/A,#N/A,FALSE,"단축3";#N/A,#N/A,FALSE,"장축";#N/A,#N/A,FALSE,"4WD"}</definedName>
    <definedName name="제지공정">[12]공정배출목록!$G$2</definedName>
    <definedName name="제품">#REF!</definedName>
    <definedName name="제품설계예산" localSheetId="0" hidden="1">{#N/A,#N/A,FALSE,"단축1";#N/A,#N/A,FALSE,"단축2";#N/A,#N/A,FALSE,"단축3";#N/A,#N/A,FALSE,"장축";#N/A,#N/A,FALSE,"4WD"}</definedName>
    <definedName name="제품설계예산" hidden="1">{#N/A,#N/A,FALSE,"단축1";#N/A,#N/A,FALSE,"단축2";#N/A,#N/A,FALSE,"단축3";#N/A,#N/A,FALSE,"장축";#N/A,#N/A,FALSE,"4WD"}</definedName>
    <definedName name="조개" localSheetId="0" hidden="1">{#N/A,#N/A,FALSE,"신규dep";#N/A,#N/A,FALSE,"신규dep-금형상각후";#N/A,#N/A,FALSE,"신규dep-연구비상각후";#N/A,#N/A,FALSE,"신규dep-기계,공구상각후"}</definedName>
    <definedName name="조개" hidden="1">{#N/A,#N/A,FALSE,"신규dep";#N/A,#N/A,FALSE,"신규dep-금형상각후";#N/A,#N/A,FALSE,"신규dep-연구비상각후";#N/A,#N/A,FALSE,"신규dep-기계,공구상각후"}</definedName>
    <definedName name="조동" localSheetId="0" hidden="1">{#N/A,#N/A,FALSE,"단축1";#N/A,#N/A,FALSE,"단축2";#N/A,#N/A,FALSE,"단축3";#N/A,#N/A,FALSE,"장축";#N/A,#N/A,FALSE,"4WD"}</definedName>
    <definedName name="조동" hidden="1">{#N/A,#N/A,FALSE,"단축1";#N/A,#N/A,FALSE,"단축2";#N/A,#N/A,FALSE,"단축3";#N/A,#N/A,FALSE,"장축";#N/A,#N/A,FALSE,"4WD"}</definedName>
    <definedName name="조동신" localSheetId="0" hidden="1">{#N/A,#N/A,FALSE,"단축1";#N/A,#N/A,FALSE,"단축2";#N/A,#N/A,FALSE,"단축3";#N/A,#N/A,FALSE,"장축";#N/A,#N/A,FALSE,"4WD"}</definedName>
    <definedName name="조동신" hidden="1">{#N/A,#N/A,FALSE,"단축1";#N/A,#N/A,FALSE,"단축2";#N/A,#N/A,FALSE,"단축3";#N/A,#N/A,FALSE,"장축";#N/A,#N/A,FALSE,"4WD"}</definedName>
    <definedName name="조립" localSheetId="0" hidden="1">{#N/A,#N/A,FALSE,"단축1";#N/A,#N/A,FALSE,"단축2";#N/A,#N/A,FALSE,"단축3";#N/A,#N/A,FALSE,"장축";#N/A,#N/A,FALSE,"4WD"}</definedName>
    <definedName name="조립" hidden="1">{#N/A,#N/A,FALSE,"단축1";#N/A,#N/A,FALSE,"단축2";#N/A,#N/A,FALSE,"단축3";#N/A,#N/A,FALSE,"장축";#N/A,#N/A,FALSE,"4WD"}</definedName>
    <definedName name="조정" localSheetId="0" hidden="1">{#N/A,#N/A,FALSE,"단축1";#N/A,#N/A,FALSE,"단축2";#N/A,#N/A,FALSE,"단축3";#N/A,#N/A,FALSE,"장축";#N/A,#N/A,FALSE,"4WD"}</definedName>
    <definedName name="조정" hidden="1">{#N/A,#N/A,FALSE,"단축1";#N/A,#N/A,FALSE,"단축2";#N/A,#N/A,FALSE,"단축3";#N/A,#N/A,FALSE,"장축";#N/A,#N/A,FALSE,"4WD"}</definedName>
    <definedName name="조직도0201" localSheetId="0" hidden="1">{#N/A,#N/A,FALSE,"협조전";#N/A,#N/A,FALSE,"원가절감계획 ";#N/A,#N/A,FALSE,"항목별원가절감계획"}</definedName>
    <definedName name="조직도0201" hidden="1">{#N/A,#N/A,FALSE,"협조전";#N/A,#N/A,FALSE,"원가절감계획 ";#N/A,#N/A,FALSE,"항목별원가절감계획"}</definedName>
    <definedName name="조치" localSheetId="0" hidden="1">{#N/A,#N/A,FALSE,"단축1";#N/A,#N/A,FALSE,"단축2";#N/A,#N/A,FALSE,"단축3";#N/A,#N/A,FALSE,"장축";#N/A,#N/A,FALSE,"4WD"}</definedName>
    <definedName name="조치"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 localSheetId="0" hidden="1">{#N/A,#N/A,TRUE,"Y생산";#N/A,#N/A,TRUE,"Y판매";#N/A,#N/A,TRUE,"Y총물량";#N/A,#N/A,TRUE,"Y능력";#N/A,#N/A,TRUE,"YKD"}</definedName>
    <definedName name="지" hidden="1">{#N/A,#N/A,TRUE,"Y생산";#N/A,#N/A,TRUE,"Y판매";#N/A,#N/A,TRUE,"Y총물량";#N/A,#N/A,TRUE,"Y능력";#N/A,#N/A,TRUE,"YKD"}</definedName>
    <definedName name="지급보증받은사항">#REF!</definedName>
    <definedName name="지원비" localSheetId="0" hidden="1">{#N/A,#N/A,FALSE,"단축1";#N/A,#N/A,FALSE,"단축2";#N/A,#N/A,FALSE,"단축3";#N/A,#N/A,FALSE,"장축";#N/A,#N/A,FALSE,"4WD"}</definedName>
    <definedName name="지원비" hidden="1">{#N/A,#N/A,FALSE,"단축1";#N/A,#N/A,FALSE,"단축2";#N/A,#N/A,FALSE,"단축3";#N/A,#N/A,FALSE,"장축";#N/A,#N/A,FALSE,"4WD"}</definedName>
    <definedName name="지짐배포" localSheetId="0" hidden="1">{#N/A,#N/A,FALSE,"표지";#N/A,#N/A,FALSE,"전제";#N/A,#N/A,FALSE,"손익-자 (2)";#N/A,#N/A,FALSE,"손익-자";#N/A,#N/A,FALSE,"손익-마 (2)";#N/A,#N/A,FALSE,"손익-마";#N/A,#N/A,FALSE,"총손최종"}</definedName>
    <definedName name="지짐배포" hidden="1">{#N/A,#N/A,FALSE,"표지";#N/A,#N/A,FALSE,"전제";#N/A,#N/A,FALSE,"손익-자 (2)";#N/A,#N/A,FALSE,"손익-자";#N/A,#N/A,FALSE,"손익-마 (2)";#N/A,#N/A,FALSE,"손익-마";#N/A,#N/A,FALSE,"총손최종"}</definedName>
    <definedName name="지태면" localSheetId="0" hidden="1">{#N/A,#N/A,TRUE,"Y생산";#N/A,#N/A,TRUE,"Y판매";#N/A,#N/A,TRUE,"Y총물량";#N/A,#N/A,TRUE,"Y능력";#N/A,#N/A,TRUE,"YKD"}</definedName>
    <definedName name="지태면" hidden="1">{#N/A,#N/A,TRUE,"Y생산";#N/A,#N/A,TRUE,"Y판매";#N/A,#N/A,TRUE,"Y총물량";#N/A,#N/A,TRUE,"Y능력";#N/A,#N/A,TRUE,"YKD"}</definedName>
    <definedName name="진짜" localSheetId="0" hidden="1">{#N/A,#N/A,FALSE,"협조전";#N/A,#N/A,FALSE,"원가절감계획 ";#N/A,#N/A,FALSE,"항목별원가절감계획"}</definedName>
    <definedName name="진짜" hidden="1">{#N/A,#N/A,FALSE,"협조전";#N/A,#N/A,FALSE,"원가절감계획 ";#N/A,#N/A,FALSE,"항목별원가절감계획"}</definedName>
    <definedName name="진짜시간" localSheetId="0" hidden="1">{#N/A,#N/A,FALSE,"단축1";#N/A,#N/A,FALSE,"단축2";#N/A,#N/A,FALSE,"단축3";#N/A,#N/A,FALSE,"장축";#N/A,#N/A,FALSE,"4WD"}</definedName>
    <definedName name="진짜시간" hidden="1">{#N/A,#N/A,FALSE,"단축1";#N/A,#N/A,FALSE,"단축2";#N/A,#N/A,FALSE,"단축3";#N/A,#N/A,FALSE,"장축";#N/A,#N/A,FALSE,"4WD"}</definedName>
    <definedName name="집기부품" localSheetId="0" hidden="1">{#N/A,#N/A,FALSE,"협조전";#N/A,#N/A,FALSE,"원가절감계획 ";#N/A,#N/A,FALSE,"항목별원가절감계획"}</definedName>
    <definedName name="집기부품" hidden="1">{#N/A,#N/A,FALSE,"협조전";#N/A,#N/A,FALSE,"원가절감계획 ";#N/A,#N/A,FALSE,"항목별원가절감계획"}</definedName>
    <definedName name="ㅉ" localSheetId="0" hidden="1">{#N/A,#N/A,TRUE,"Y생산";#N/A,#N/A,TRUE,"Y판매";#N/A,#N/A,TRUE,"Y총물량";#N/A,#N/A,TRUE,"Y능력";#N/A,#N/A,TRUE,"YKD"}</definedName>
    <definedName name="ㅉ" hidden="1">{#N/A,#N/A,TRUE,"Y생산";#N/A,#N/A,TRUE,"Y판매";#N/A,#N/A,TRUE,"Y총물량";#N/A,#N/A,TRUE,"Y능력";#N/A,#N/A,TRUE,"YKD"}</definedName>
    <definedName name="ㅊ" localSheetId="0"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ㅊ" localSheetId="0" hidden="1">{#N/A,#N/A,FALSE,"단축1";#N/A,#N/A,FALSE,"단축2";#N/A,#N/A,FALSE,"단축3";#N/A,#N/A,FALSE,"장축";#N/A,#N/A,FALSE,"4WD"}</definedName>
    <definedName name="ㅊㅊ" hidden="1">{#N/A,#N/A,FALSE,"단축1";#N/A,#N/A,FALSE,"단축2";#N/A,#N/A,FALSE,"단축3";#N/A,#N/A,FALSE,"장축";#N/A,#N/A,FALSE,"4WD"}</definedName>
    <definedName name="ㅊㅊㅊ" localSheetId="0" hidden="1">{#N/A,#N/A,FALSE,"단축1";#N/A,#N/A,FALSE,"단축2";#N/A,#N/A,FALSE,"단축3";#N/A,#N/A,FALSE,"장축";#N/A,#N/A,FALSE,"4WD"}</definedName>
    <definedName name="ㅊㅊㅊ" hidden="1">{#N/A,#N/A,FALSE,"단축1";#N/A,#N/A,FALSE,"단축2";#N/A,#N/A,FALSE,"단축3";#N/A,#N/A,FALSE,"장축";#N/A,#N/A,FALSE,"4WD"}</definedName>
    <definedName name="차" localSheetId="0" hidden="1">{#N/A,#N/A,FALSE,"표지";#N/A,#N/A,FALSE,"전제";#N/A,#N/A,FALSE,"손익-자 (2)";#N/A,#N/A,FALSE,"손익-자";#N/A,#N/A,FALSE,"손익-마 (2)";#N/A,#N/A,FALSE,"손익-마";#N/A,#N/A,FALSE,"총손최종"}</definedName>
    <definedName name="차" hidden="1">{#N/A,#N/A,FALSE,"표지";#N/A,#N/A,FALSE,"전제";#N/A,#N/A,FALSE,"손익-자 (2)";#N/A,#N/A,FALSE,"손익-자";#N/A,#N/A,FALSE,"손익-마 (2)";#N/A,#N/A,FALSE,"손익-마";#N/A,#N/A,FALSE,"총손최종"}</definedName>
    <definedName name="차원" hidden="1">#REF!</definedName>
    <definedName name="차종" localSheetId="0" hidden="1">{#N/A,#N/A,FALSE,"신규dep";#N/A,#N/A,FALSE,"신규dep-금형상각후";#N/A,#N/A,FALSE,"신규dep-연구비상각후";#N/A,#N/A,FALSE,"신규dep-기계,공구상각후"}</definedName>
    <definedName name="차종" hidden="1">{#N/A,#N/A,FALSE,"신규dep";#N/A,#N/A,FALSE,"신규dep-금형상각후";#N/A,#N/A,FALSE,"신규dep-연구비상각후";#N/A,#N/A,FALSE,"신규dep-기계,공구상각후"}</definedName>
    <definedName name="차종별LCA배출계수">'[6]배출계수_환경성적표지(자동차)'!$C$8:$G$33</definedName>
    <definedName name="차종별사용단계배출계수">'[6]배출계수_환경성적표지(자동차)'!$C$8:$F$33</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고사항" localSheetId="0" hidden="1">{#N/A,#N/A,FALSE,"단축1";#N/A,#N/A,FALSE,"단축2";#N/A,#N/A,FALSE,"단축3";#N/A,#N/A,FALSE,"장축";#N/A,#N/A,FALSE,"4WD"}</definedName>
    <definedName name="참고사항"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첨단교통관리분야" localSheetId="0" hidden="1">{#N/A,#N/A,FALSE,"단축1";#N/A,#N/A,FALSE,"단축2";#N/A,#N/A,FALSE,"단축3";#N/A,#N/A,FALSE,"장축";#N/A,#N/A,FALSE,"4WD"}</definedName>
    <definedName name="첨단교통관리분야" hidden="1">{#N/A,#N/A,FALSE,"단축1";#N/A,#N/A,FALSE,"단축2";#N/A,#N/A,FALSE,"단축3";#N/A,#N/A,FALSE,"장축";#N/A,#N/A,FALSE,"4WD"}</definedName>
    <definedName name="첨부" hidden="1">#REF!</definedName>
    <definedName name="첨부." hidden="1">#REF!</definedName>
    <definedName name="초안" localSheetId="0" hidden="1">{#N/A,#N/A,FALSE,"단축1";#N/A,#N/A,FALSE,"단축2";#N/A,#N/A,FALSE,"단축3";#N/A,#N/A,FALSE,"장축";#N/A,#N/A,FALSE,"4WD"}</definedName>
    <definedName name="초안" hidden="1">{#N/A,#N/A,FALSE,"단축1";#N/A,#N/A,FALSE,"단축2";#N/A,#N/A,FALSE,"단축3";#N/A,#N/A,FALSE,"장축";#N/A,#N/A,FALSE,"4WD"}</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무팀총무팀" localSheetId="0" hidden="1">{#N/A,#N/A,TRUE,"Y생산";#N/A,#N/A,TRUE,"Y판매";#N/A,#N/A,TRUE,"Y총물량";#N/A,#N/A,TRUE,"Y능력";#N/A,#N/A,TRUE,"YKD"}</definedName>
    <definedName name="총무팀총무팀" hidden="1">{#N/A,#N/A,TRUE,"Y생산";#N/A,#N/A,TRUE,"Y판매";#N/A,#N/A,TRUE,"Y총물량";#N/A,#N/A,TRUE,"Y능력";#N/A,#N/A,TRUE,"YKD"}</definedName>
    <definedName name="최신팀장조직도" localSheetId="0" hidden="1">{#N/A,#N/A,FALSE,"단축1";#N/A,#N/A,FALSE,"단축2";#N/A,#N/A,FALSE,"단축3";#N/A,#N/A,FALSE,"장축";#N/A,#N/A,FALSE,"4WD"}</definedName>
    <definedName name="최신팀장조직도" hidden="1">{#N/A,#N/A,FALSE,"단축1";#N/A,#N/A,FALSE,"단축2";#N/A,#N/A,FALSE,"단축3";#N/A,#N/A,FALSE,"장축";#N/A,#N/A,FALSE,"4WD"}</definedName>
    <definedName name="최영" localSheetId="0" hidden="1">{#N/A,#N/A,FALSE,"정공"}</definedName>
    <definedName name="최영" hidden="1">{#N/A,#N/A,FALSE,"정공"}</definedName>
    <definedName name="최종" localSheetId="0" hidden="1">{#N/A,#N/A,FALSE,"표지";#N/A,#N/A,FALSE,"전제";#N/A,#N/A,FALSE,"손익-자 (2)";#N/A,#N/A,FALSE,"손익-자";#N/A,#N/A,FALSE,"손익-마 (2)";#N/A,#N/A,FALSE,"손익-마";#N/A,#N/A,FALSE,"총손최종"}</definedName>
    <definedName name="최종" hidden="1">{#N/A,#N/A,FALSE,"표지";#N/A,#N/A,FALSE,"전제";#N/A,#N/A,FALSE,"손익-자 (2)";#N/A,#N/A,FALSE,"손익-자";#N/A,#N/A,FALSE,"손익-마 (2)";#N/A,#N/A,FALSE,"손익-마";#N/A,#N/A,FALSE,"총손최종"}</definedName>
    <definedName name="추진배경" localSheetId="0" hidden="1">{#N/A,#N/A,FALSE,"단축1";#N/A,#N/A,FALSE,"단축2";#N/A,#N/A,FALSE,"단축3";#N/A,#N/A,FALSE,"장축";#N/A,#N/A,FALSE,"4WD"}</definedName>
    <definedName name="추진배경" hidden="1">{#N/A,#N/A,FALSE,"단축1";#N/A,#N/A,FALSE,"단축2";#N/A,#N/A,FALSE,"단축3";#N/A,#N/A,FALSE,"장축";#N/A,#N/A,FALSE,"4WD"}</definedName>
    <definedName name="충돌" localSheetId="0" hidden="1">{#N/A,#N/A,FALSE,"단축1";#N/A,#N/A,FALSE,"단축2";#N/A,#N/A,FALSE,"단축3";#N/A,#N/A,FALSE,"장축";#N/A,#N/A,FALSE,"4WD"}</definedName>
    <definedName name="충돌" hidden="1">{#N/A,#N/A,FALSE,"단축1";#N/A,#N/A,FALSE,"단축2";#N/A,#N/A,FALSE,"단축3";#N/A,#N/A,FALSE,"장축";#N/A,#N/A,FALSE,"4WD"}</definedName>
    <definedName name="충돌1" localSheetId="0" hidden="1">{#N/A,#N/A,FALSE,"단축1";#N/A,#N/A,FALSE,"단축2";#N/A,#N/A,FALSE,"단축3";#N/A,#N/A,FALSE,"장축";#N/A,#N/A,FALSE,"4WD"}</definedName>
    <definedName name="충돌1" hidden="1">{#N/A,#N/A,FALSE,"단축1";#N/A,#N/A,FALSE,"단축2";#N/A,#N/A,FALSE,"단축3";#N/A,#N/A,FALSE,"장축";#N/A,#N/A,FALSE,"4WD"}</definedName>
    <definedName name="츞ㅊ퓰ㅊ휴" localSheetId="0" hidden="1">{#N/A,#N/A,FALSE,"신규dep";#N/A,#N/A,FALSE,"신규dep-금형상각후";#N/A,#N/A,FALSE,"신규dep-연구비상각후";#N/A,#N/A,FALSE,"신규dep-기계,공구상각후"}</definedName>
    <definedName name="츞ㅊ퓰ㅊ휴" hidden="1">{#N/A,#N/A,FALSE,"신규dep";#N/A,#N/A,FALSE,"신규dep-금형상각후";#N/A,#N/A,FALSE,"신규dep-연구비상각후";#N/A,#N/A,FALSE,"신규dep-기계,공구상각후"}</definedName>
    <definedName name="ㅋ" localSheetId="0" hidden="1">{#N/A,#N/A,FALSE,"표지";#N/A,#N/A,FALSE,"을지1";#N/A,#N/A,FALSE,"일정1";#N/A,#N/A,FALSE,"일정2";#N/A,#N/A,FALSE,"11T-C";#N/A,#N/A,FALSE,"15T-D";#N/A,#N/A,FALSE,"판매현황";#N/A,#N/A,FALSE,"업무 FLOW"}</definedName>
    <definedName name="ㅋ" hidden="1">{#N/A,#N/A,FALSE,"표지";#N/A,#N/A,FALSE,"을지1";#N/A,#N/A,FALSE,"일정1";#N/A,#N/A,FALSE,"일정2";#N/A,#N/A,FALSE,"11T-C";#N/A,#N/A,FALSE,"15T-D";#N/A,#N/A,FALSE,"판매현황";#N/A,#N/A,FALSE,"업무 FLOW"}</definedName>
    <definedName name="ㅋㅋㅋ" localSheetId="0" hidden="1">{#N/A,#N/A,FALSE,"단축1";#N/A,#N/A,FALSE,"단축2";#N/A,#N/A,FALSE,"단축3";#N/A,#N/A,FALSE,"장축";#N/A,#N/A,FALSE,"4WD"}</definedName>
    <definedName name="ㅋㅋㅋ" hidden="1">{#N/A,#N/A,FALSE,"단축1";#N/A,#N/A,FALSE,"단축2";#N/A,#N/A,FALSE,"단축3";#N/A,#N/A,FALSE,"장축";#N/A,#N/A,FALSE,"4WD"}</definedName>
    <definedName name="ㅋㅌㅊ" localSheetId="0" hidden="1">{#N/A,#N/A,FALSE,"단축1";#N/A,#N/A,FALSE,"단축2";#N/A,#N/A,FALSE,"단축3";#N/A,#N/A,FALSE,"장축";#N/A,#N/A,FALSE,"4WD"}</definedName>
    <definedName name="ㅋㅌㅊ" hidden="1">{#N/A,#N/A,FALSE,"단축1";#N/A,#N/A,FALSE,"단축2";#N/A,#N/A,FALSE,"단축3";#N/A,#N/A,FALSE,"장축";#N/A,#N/A,FALSE,"4WD"}</definedName>
    <definedName name="카" localSheetId="0" hidden="1">{#N/A,#N/A,FALSE,"단축1";#N/A,#N/A,FALSE,"단축2";#N/A,#N/A,FALSE,"단축3";#N/A,#N/A,FALSE,"장축";#N/A,#N/A,FALSE,"4WD"}</definedName>
    <definedName name="카" hidden="1">{#N/A,#N/A,FALSE,"단축1";#N/A,#N/A,FALSE,"단축2";#N/A,#N/A,FALSE,"단축3";#N/A,#N/A,FALSE,"장축";#N/A,#N/A,FALSE,"4WD"}</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카메라2" localSheetId="0" hidden="1">{#N/A,#N/A,FALSE,"협조전";#N/A,#N/A,FALSE,"원가절감계획 ";#N/A,#N/A,FALSE,"항목별원가절감계획"}</definedName>
    <definedName name="카메라2" hidden="1">{#N/A,#N/A,FALSE,"협조전";#N/A,#N/A,FALSE,"원가절감계획 ";#N/A,#N/A,FALSE,"항목별원가절감계획"}</definedName>
    <definedName name="카메라업무분장" localSheetId="0" hidden="1">{#N/A,#N/A,FALSE,"단축1";#N/A,#N/A,FALSE,"단축2";#N/A,#N/A,FALSE,"단축3";#N/A,#N/A,FALSE,"장축";#N/A,#N/A,FALSE,"4WD"}</definedName>
    <definedName name="카메라업무분장" hidden="1">{#N/A,#N/A,FALSE,"단축1";#N/A,#N/A,FALSE,"단축2";#N/A,#N/A,FALSE,"단축3";#N/A,#N/A,FALSE,"장축";#N/A,#N/A,FALSE,"4WD"}</definedName>
    <definedName name="카카카" localSheetId="0" hidden="1">{#N/A,#N/A,FALSE,"단축1";#N/A,#N/A,FALSE,"단축2";#N/A,#N/A,FALSE,"단축3";#N/A,#N/A,FALSE,"장축";#N/A,#N/A,FALSE,"4WD"}</definedName>
    <definedName name="카카카" hidden="1">{#N/A,#N/A,FALSE,"단축1";#N/A,#N/A,FALSE,"단축2";#N/A,#N/A,FALSE,"단축3";#N/A,#N/A,FALSE,"장축";#N/A,#N/A,FALSE,"4WD"}</definedName>
    <definedName name="카타콤베" localSheetId="0" hidden="1">{#N/A,#N/A,FALSE,"단축1";#N/A,#N/A,FALSE,"단축2";#N/A,#N/A,FALSE,"단축3";#N/A,#N/A,FALSE,"장축";#N/A,#N/A,FALSE,"4WD"}</definedName>
    <definedName name="카타콤베" hidden="1">{#N/A,#N/A,FALSE,"단축1";#N/A,#N/A,FALSE,"단축2";#N/A,#N/A,FALSE,"단축3";#N/A,#N/A,FALSE,"장축";#N/A,#N/A,FALSE,"4WD"}</definedName>
    <definedName name="키프코" localSheetId="0" hidden="1">{#N/A,#N/A,FALSE,"을지 (4)";#N/A,#N/A,FALSE,"을지 (5)";#N/A,#N/A,FALSE,"을지 (6)"}</definedName>
    <definedName name="키프코" hidden="1">{#N/A,#N/A,FALSE,"을지 (4)";#N/A,#N/A,FALSE,"을지 (5)";#N/A,#N/A,FALSE,"을지 (6)"}</definedName>
    <definedName name="ㅌㄴㅇ" localSheetId="0" hidden="1">{#N/A,#N/A,FALSE,"단축1";#N/A,#N/A,FALSE,"단축2";#N/A,#N/A,FALSE,"단축3";#N/A,#N/A,FALSE,"장축";#N/A,#N/A,FALSE,"4WD"}</definedName>
    <definedName name="ㅌㄴㅇ" hidden="1">{#N/A,#N/A,FALSE,"단축1";#N/A,#N/A,FALSE,"단축2";#N/A,#N/A,FALSE,"단축3";#N/A,#N/A,FALSE,"장축";#N/A,#N/A,FALSE,"4WD"}</definedName>
    <definedName name="ㅌㅌ" localSheetId="0" hidden="1">{#N/A,#N/A,FALSE,"단축1";#N/A,#N/A,FALSE,"단축2";#N/A,#N/A,FALSE,"단축3";#N/A,#N/A,FALSE,"장축";#N/A,#N/A,FALSE,"4WD"}</definedName>
    <definedName name="ㅌㅌ" hidden="1">{#N/A,#N/A,FALSE,"단축1";#N/A,#N/A,FALSE,"단축2";#N/A,#N/A,FALSE,"단축3";#N/A,#N/A,FALSE,"장축";#N/A,#N/A,FALSE,"4WD"}</definedName>
    <definedName name="타타" localSheetId="0" hidden="1">{#N/A,#N/A,FALSE,"단축1";#N/A,#N/A,FALSE,"단축2";#N/A,#N/A,FALSE,"단축3";#N/A,#N/A,FALSE,"장축";#N/A,#N/A,FALSE,"4WD"}</definedName>
    <definedName name="타타" hidden="1">{#N/A,#N/A,FALSE,"단축1";#N/A,#N/A,FALSE,"단축2";#N/A,#N/A,FALSE,"단축3";#N/A,#N/A,FALSE,"장축";#N/A,#N/A,FALSE,"4WD"}</definedName>
    <definedName name="탈루구분">[12]탈루정보!$A$2:$A$13</definedName>
    <definedName name="투자" localSheetId="0" hidden="1">{#N/A,#N/A,FALSE,"단축1";#N/A,#N/A,FALSE,"단축2";#N/A,#N/A,FALSE,"단축3";#N/A,#N/A,FALSE,"장축";#N/A,#N/A,FALSE,"4WD"}</definedName>
    <definedName name="투자" hidden="1">{#N/A,#N/A,FALSE,"단축1";#N/A,#N/A,FALSE,"단축2";#N/A,#N/A,FALSE,"단축3";#N/A,#N/A,FALSE,"장축";#N/A,#N/A,FALSE,"4WD"}</definedName>
    <definedName name="투자CONC.182억" localSheetId="0" hidden="1">{#N/A,#N/A,FALSE,"단축1";#N/A,#N/A,FALSE,"단축2";#N/A,#N/A,FALSE,"단축3";#N/A,#N/A,FALSE,"장축";#N/A,#N/A,FALSE,"4WD"}</definedName>
    <definedName name="투자CONC.182억" hidden="1">{#N/A,#N/A,FALSE,"단축1";#N/A,#N/A,FALSE,"단축2";#N/A,#N/A,FALSE,"단축3";#N/A,#N/A,FALSE,"장축";#N/A,#N/A,FALSE,"4WD"}</definedName>
    <definedName name="투자대상" localSheetId="0" hidden="1">{#N/A,#N/A,FALSE,"단축1";#N/A,#N/A,FALSE,"단축2";#N/A,#N/A,FALSE,"단축3";#N/A,#N/A,FALSE,"장축";#N/A,#N/A,FALSE,"4WD"}</definedName>
    <definedName name="투자대상" hidden="1">{#N/A,#N/A,FALSE,"단축1";#N/A,#N/A,FALSE,"단축2";#N/A,#N/A,FALSE,"단축3";#N/A,#N/A,FALSE,"장축";#N/A,#N/A,FALSE,"4WD"}</definedName>
    <definedName name="투자비3안" localSheetId="0" hidden="1">{#N/A,#N/A,FALSE,"단축1";#N/A,#N/A,FALSE,"단축2";#N/A,#N/A,FALSE,"단축3";#N/A,#N/A,FALSE,"장축";#N/A,#N/A,FALSE,"4WD"}</definedName>
    <definedName name="투자비3안" hidden="1">{#N/A,#N/A,FALSE,"단축1";#N/A,#N/A,FALSE,"단축2";#N/A,#N/A,FALSE,"단축3";#N/A,#N/A,FALSE,"장축";#N/A,#N/A,FALSE,"4WD"}</definedName>
    <definedName name="투자비검토" localSheetId="0" hidden="1">{#N/A,#N/A,FALSE,"단축1";#N/A,#N/A,FALSE,"단축2";#N/A,#N/A,FALSE,"단축3";#N/A,#N/A,FALSE,"장축";#N/A,#N/A,FALSE,"4WD"}</definedName>
    <definedName name="투자비검토" hidden="1">{#N/A,#N/A,FALSE,"단축1";#N/A,#N/A,FALSE,"단축2";#N/A,#N/A,FALSE,"단축3";#N/A,#N/A,FALSE,"장축";#N/A,#N/A,FALSE,"4WD"}</definedName>
    <definedName name="투자비비교" localSheetId="0" hidden="1">{#N/A,#N/A,FALSE,"단축1";#N/A,#N/A,FALSE,"단축2";#N/A,#N/A,FALSE,"단축3";#N/A,#N/A,FALSE,"장축";#N/A,#N/A,FALSE,"4WD"}</definedName>
    <definedName name="투자비비교"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예산2" localSheetId="0" hidden="1">{#N/A,#N/A,FALSE,"단축1";#N/A,#N/A,FALSE,"단축2";#N/A,#N/A,FALSE,"단축3";#N/A,#N/A,FALSE,"장축";#N/A,#N/A,FALSE,"4WD"}</definedName>
    <definedName name="투자예산2" hidden="1">{#N/A,#N/A,FALSE,"단축1";#N/A,#N/A,FALSE,"단축2";#N/A,#N/A,FALSE,"단축3";#N/A,#N/A,FALSE,"장축";#N/A,#N/A,FALSE,"4WD"}</definedName>
    <definedName name="ㅍㅊㅇㄴㅊ" localSheetId="0" hidden="1">{#N/A,#N/A,FALSE,"단축1";#N/A,#N/A,FALSE,"단축2";#N/A,#N/A,FALSE,"단축3";#N/A,#N/A,FALSE,"장축";#N/A,#N/A,FALSE,"4WD"}</definedName>
    <definedName name="ㅍㅊㅇㄴㅊ" hidden="1">{#N/A,#N/A,FALSE,"단축1";#N/A,#N/A,FALSE,"단축2";#N/A,#N/A,FALSE,"단축3";#N/A,#N/A,FALSE,"장축";#N/A,#N/A,FALSE,"4WD"}</definedName>
    <definedName name="ㅍㅍㅍㅍㅍ" localSheetId="0" hidden="1">{#N/A,#N/A,FALSE,"단축1";#N/A,#N/A,FALSE,"단축2";#N/A,#N/A,FALSE,"단축3";#N/A,#N/A,FALSE,"장축";#N/A,#N/A,FALSE,"4WD"}</definedName>
    <definedName name="ㅍㅍㅍㅍㅍ" hidden="1">{#N/A,#N/A,FALSE,"단축1";#N/A,#N/A,FALSE,"단축2";#N/A,#N/A,FALSE,"단축3";#N/A,#N/A,FALSE,"장축";#N/A,#N/A,FALSE,"4WD"}</definedName>
    <definedName name="파" localSheetId="0" hidden="1">{#N/A,#N/A,FALSE,"단축1";#N/A,#N/A,FALSE,"단축2";#N/A,#N/A,FALSE,"단축3";#N/A,#N/A,FALSE,"장축";#N/A,#N/A,FALSE,"4WD"}</definedName>
    <definedName name="파" hidden="1">{#N/A,#N/A,FALSE,"단축1";#N/A,#N/A,FALSE,"단축2";#N/A,#N/A,FALSE,"단축3";#N/A,#N/A,FALSE,"장축";#N/A,#N/A,FALSE,"4WD"}</definedName>
    <definedName name="파워트레인" localSheetId="0" hidden="1">{#N/A,#N/A,FALSE,"단축1";#N/A,#N/A,FALSE,"단축2";#N/A,#N/A,FALSE,"단축3";#N/A,#N/A,FALSE,"장축";#N/A,#N/A,FALSE,"4WD"}</definedName>
    <definedName name="파워트레인" hidden="1">{#N/A,#N/A,FALSE,"단축1";#N/A,#N/A,FALSE,"단축2";#N/A,#N/A,FALSE,"단축3";#N/A,#N/A,FALSE,"장축";#N/A,#N/A,FALSE,"4WD"}</definedName>
    <definedName name="판매계획" localSheetId="0" hidden="1">{#N/A,#N/A,FALSE,"단축1";#N/A,#N/A,FALSE,"단축2";#N/A,#N/A,FALSE,"단축3";#N/A,#N/A,FALSE,"장축";#N/A,#N/A,FALSE,"4WD"}</definedName>
    <definedName name="판매계획" hidden="1">{#N/A,#N/A,FALSE,"단축1";#N/A,#N/A,FALSE,"단축2";#N/A,#N/A,FALSE,"단축3";#N/A,#N/A,FALSE,"장축";#N/A,#N/A,FALSE,"4WD"}</definedName>
    <definedName name="판매계획.XLS" localSheetId="0" hidden="1">{#N/A,#N/A,FALSE,"단축1";#N/A,#N/A,FALSE,"단축2";#N/A,#N/A,FALSE,"단축3";#N/A,#N/A,FALSE,"장축";#N/A,#N/A,FALSE,"4WD"}</definedName>
    <definedName name="판매계획.XLS" hidden="1">{#N/A,#N/A,FALSE,"단축1";#N/A,#N/A,FALSE,"단축2";#N/A,#N/A,FALSE,"단축3";#N/A,#N/A,FALSE,"장축";#N/A,#N/A,FALSE,"4WD"}</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증대계획" localSheetId="0" hidden="1">{#N/A,#N/A,FALSE,"단축1";#N/A,#N/A,FALSE,"단축2";#N/A,#N/A,FALSE,"단축3";#N/A,#N/A,FALSE,"장축";#N/A,#N/A,FALSE,"4WD"}</definedName>
    <definedName name="판매증대계획" hidden="1">{#N/A,#N/A,FALSE,"단축1";#N/A,#N/A,FALSE,"단축2";#N/A,#N/A,FALSE,"단축3";#N/A,#N/A,FALSE,"장축";#N/A,#N/A,FALSE,"4WD"}</definedName>
    <definedName name="판분" localSheetId="0" hidden="1">{#N/A,#N/A,FALSE,"단축1";#N/A,#N/A,FALSE,"단축2";#N/A,#N/A,FALSE,"단축3";#N/A,#N/A,FALSE,"장축";#N/A,#N/A,FALSE,"4WD"}</definedName>
    <definedName name="판분" hidden="1">{#N/A,#N/A,FALSE,"단축1";#N/A,#N/A,FALSE,"단축2";#N/A,#N/A,FALSE,"단축3";#N/A,#N/A,FALSE,"장축";#N/A,#N/A,FALSE,"4WD"}</definedName>
    <definedName name="판찬" localSheetId="0" hidden="1">{#N/A,#N/A,FALSE,"단축1";#N/A,#N/A,FALSE,"단축2";#N/A,#N/A,FALSE,"단축3";#N/A,#N/A,FALSE,"장축";#N/A,#N/A,FALSE,"4WD"}</definedName>
    <definedName name="판찬" hidden="1">{#N/A,#N/A,FALSE,"단축1";#N/A,#N/A,FALSE,"단축2";#N/A,#N/A,FALSE,"단축3";#N/A,#N/A,FALSE,"장축";#N/A,#N/A,FALSE,"4WD"}</definedName>
    <definedName name="판초ㅗㄱ" localSheetId="0" hidden="1">{#N/A,#N/A,FALSE,"단축1";#N/A,#N/A,FALSE,"단축2";#N/A,#N/A,FALSE,"단축3";#N/A,#N/A,FALSE,"장축";#N/A,#N/A,FALSE,"4WD"}</definedName>
    <definedName name="판초ㅗㄱ" hidden="1">{#N/A,#N/A,FALSE,"단축1";#N/A,#N/A,FALSE,"단축2";#N/A,#N/A,FALSE,"단축3";#N/A,#N/A,FALSE,"장축";#N/A,#N/A,FALSE,"4WD"}</definedName>
    <definedName name="판촉" localSheetId="0" hidden="1">{#N/A,#N/A,FALSE,"단축1";#N/A,#N/A,FALSE,"단축2";#N/A,#N/A,FALSE,"단축3";#N/A,#N/A,FALSE,"장축";#N/A,#N/A,FALSE,"4WD"}</definedName>
    <definedName name="판촉" hidden="1">{#N/A,#N/A,FALSE,"단축1";#N/A,#N/A,FALSE,"단축2";#N/A,#N/A,FALSE,"단축3";#N/A,#N/A,FALSE,"장축";#N/A,#N/A,FALSE,"4WD"}</definedName>
    <definedName name="판촉계획" localSheetId="0" hidden="1">{#N/A,#N/A,FALSE,"단축1";#N/A,#N/A,FALSE,"단축2";#N/A,#N/A,FALSE,"단축3";#N/A,#N/A,FALSE,"장축";#N/A,#N/A,FALSE,"4WD"}</definedName>
    <definedName name="판촉계획" hidden="1">{#N/A,#N/A,FALSE,"단축1";#N/A,#N/A,FALSE,"단축2";#N/A,#N/A,FALSE,"단축3";#N/A,#N/A,FALSE,"장축";#N/A,#N/A,FALSE,"4WD"}</definedName>
    <definedName name="판촉이" localSheetId="0" hidden="1">{#N/A,#N/A,FALSE,"단축1";#N/A,#N/A,FALSE,"단축2";#N/A,#N/A,FALSE,"단축3";#N/A,#N/A,FALSE,"장축";#N/A,#N/A,FALSE,"4WD"}</definedName>
    <definedName name="판촉이" hidden="1">{#N/A,#N/A,FALSE,"단축1";#N/A,#N/A,FALSE,"단축2";#N/A,#N/A,FALSE,"단축3";#N/A,#N/A,FALSE,"장축";#N/A,#N/A,FALSE,"4WD"}</definedName>
    <definedName name="판촉이태리" localSheetId="0" hidden="1">{#N/A,#N/A,FALSE,"신규dep";#N/A,#N/A,FALSE,"신규dep-금형상각후";#N/A,#N/A,FALSE,"신규dep-연구비상각후";#N/A,#N/A,FALSE,"신규dep-기계,공구상각후"}</definedName>
    <definedName name="판촉이태리" hidden="1">{#N/A,#N/A,FALSE,"신규dep";#N/A,#N/A,FALSE,"신규dep-금형상각후";#N/A,#N/A,FALSE,"신규dep-연구비상각후";#N/A,#N/A,FALSE,"신규dep-기계,공구상각후"}</definedName>
    <definedName name="판촉추진2" localSheetId="0" hidden="1">{#N/A,#N/A,FALSE,"표지";#N/A,#N/A,FALSE,"을지1";#N/A,#N/A,FALSE,"일정1";#N/A,#N/A,FALSE,"일정2";#N/A,#N/A,FALSE,"11T-C";#N/A,#N/A,FALSE,"15T-D";#N/A,#N/A,FALSE,"판매현황";#N/A,#N/A,FALSE,"업무 FLOW"}</definedName>
    <definedName name="판촉추진2" hidden="1">{#N/A,#N/A,FALSE,"표지";#N/A,#N/A,FALSE,"을지1";#N/A,#N/A,FALSE,"일정1";#N/A,#N/A,FALSE,"일정2";#N/A,#N/A,FALSE,"11T-C";#N/A,#N/A,FALSE,"15T-D";#N/A,#N/A,FALSE,"판매현황";#N/A,#N/A,FALSE,"업무 FLOW"}</definedName>
    <definedName name="판판판" localSheetId="0" hidden="1">{#N/A,#N/A,FALSE,"단축1";#N/A,#N/A,FALSE,"단축2";#N/A,#N/A,FALSE,"단축3";#N/A,#N/A,FALSE,"장축";#N/A,#N/A,FALSE,"4WD"}</definedName>
    <definedName name="판판판" hidden="1">{#N/A,#N/A,FALSE,"단축1";#N/A,#N/A,FALSE,"단축2";#N/A,#N/A,FALSE,"단축3";#N/A,#N/A,FALSE,"장축";#N/A,#N/A,FALSE,"4WD"}</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폐기물비중변환">'[6]폐기물 단위 환산표'!$B$6:$C$82</definedName>
    <definedName name="포쇽" localSheetId="0" hidden="1">{#N/A,#N/A,FALSE,"단축1";#N/A,#N/A,FALSE,"단축2";#N/A,#N/A,FALSE,"단축3";#N/A,#N/A,FALSE,"장축";#N/A,#N/A,FALSE,"4WD"}</definedName>
    <definedName name="포쇽" hidden="1">{#N/A,#N/A,FALSE,"단축1";#N/A,#N/A,FALSE,"단축2";#N/A,#N/A,FALSE,"단축3";#N/A,#N/A,FALSE,"장축";#N/A,#N/A,FALSE,"4WD"}</definedName>
    <definedName name="표" localSheetId="0" hidden="1">{#N/A,#N/A,FALSE,"표지";#N/A,#N/A,FALSE,"을지1";#N/A,#N/A,FALSE,"일정1";#N/A,#N/A,FALSE,"일정2";#N/A,#N/A,FALSE,"11T-C";#N/A,#N/A,FALSE,"15T-D";#N/A,#N/A,FALSE,"판매현황";#N/A,#N/A,FALSE,"업무 FLOW"}</definedName>
    <definedName name="표" hidden="1">{#N/A,#N/A,FALSE,"표지";#N/A,#N/A,FALSE,"을지1";#N/A,#N/A,FALSE,"일정1";#N/A,#N/A,FALSE,"일정2";#N/A,#N/A,FALSE,"11T-C";#N/A,#N/A,FALSE,"15T-D";#N/A,#N/A,FALSE,"판매현황";#N/A,#N/A,FALSE,"업무 FLOW"}</definedName>
    <definedName name="표지1" localSheetId="0" hidden="1">{#N/A,#N/A,FALSE,"단축1";#N/A,#N/A,FALSE,"단축2";#N/A,#N/A,FALSE,"단축3";#N/A,#N/A,FALSE,"장축";#N/A,#N/A,FALSE,"4WD"}</definedName>
    <definedName name="표지1" hidden="1">{#N/A,#N/A,FALSE,"단축1";#N/A,#N/A,FALSE,"단축2";#N/A,#N/A,FALSE,"단축3";#N/A,#N/A,FALSE,"장축";#N/A,#N/A,FALSE,"4WD"}</definedName>
    <definedName name="표지자료" localSheetId="0" hidden="1">{#N/A,#N/A,FALSE,"단축1";#N/A,#N/A,FALSE,"단축2";#N/A,#N/A,FALSE,"단축3";#N/A,#N/A,FALSE,"장축";#N/A,#N/A,FALSE,"4WD"}</definedName>
    <definedName name="표지자료" hidden="1">{#N/A,#N/A,FALSE,"단축1";#N/A,#N/A,FALSE,"단축2";#N/A,#N/A,FALSE,"단축3";#N/A,#N/A,FALSE,"장축";#N/A,#N/A,FALSE,"4WD"}</definedName>
    <definedName name="품" localSheetId="0" hidden="1">{#N/A,#N/A,TRUE,"Y생산";#N/A,#N/A,TRUE,"Y판매";#N/A,#N/A,TRUE,"Y총물량";#N/A,#N/A,TRUE,"Y능력";#N/A,#N/A,TRUE,"YKD"}</definedName>
    <definedName name="품" hidden="1">{#N/A,#N/A,TRUE,"Y생산";#N/A,#N/A,TRUE,"Y판매";#N/A,#N/A,TRUE,"Y총물량";#N/A,#N/A,TRUE,"Y능력";#N/A,#N/A,TRUE,"YKD"}</definedName>
    <definedName name="품질목표2000" localSheetId="0" hidden="1">{#N/A,#N/A,TRUE,"Y생산";#N/A,#N/A,TRUE,"Y판매";#N/A,#N/A,TRUE,"Y총물량";#N/A,#N/A,TRUE,"Y능력";#N/A,#N/A,TRUE,"YKD"}</definedName>
    <definedName name="품질목표2000" hidden="1">{#N/A,#N/A,TRUE,"Y생산";#N/A,#N/A,TRUE,"Y판매";#N/A,#N/A,TRUE,"Y총물량";#N/A,#N/A,TRUE,"Y능력";#N/A,#N/A,TRUE,"YKD"}</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품확1" localSheetId="0" hidden="1">{#N/A,#N/A,FALSE,"단축1";#N/A,#N/A,FALSE,"단축2";#N/A,#N/A,FALSE,"단축3";#N/A,#N/A,FALSE,"장축";#N/A,#N/A,FALSE,"4WD"}</definedName>
    <definedName name="품확1" hidden="1">{#N/A,#N/A,FALSE,"단축1";#N/A,#N/A,FALSE,"단축2";#N/A,#N/A,FALSE,"단축3";#N/A,#N/A,FALSE,"장축";#N/A,#N/A,FALSE,"4WD"}</definedName>
    <definedName name="프로젝트" hidden="1">#REF!</definedName>
    <definedName name="플랫폼2" localSheetId="0" hidden="1">{#N/A,#N/A,FALSE,"단축1";#N/A,#N/A,FALSE,"단축2";#N/A,#N/A,FALSE,"단축3";#N/A,#N/A,FALSE,"장축";#N/A,#N/A,FALSE,"4WD"}</definedName>
    <definedName name="플랫폼2" hidden="1">{#N/A,#N/A,FALSE,"단축1";#N/A,#N/A,FALSE,"단축2";#N/A,#N/A,FALSE,"단축3";#N/A,#N/A,FALSE,"장축";#N/A,#N/A,FALSE,"4WD"}</definedName>
    <definedName name="ㅎㄹ소" localSheetId="0" hidden="1">{#N/A,#N/A,FALSE,"신규dep";#N/A,#N/A,FALSE,"신규dep-금형상각후";#N/A,#N/A,FALSE,"신규dep-연구비상각후";#N/A,#N/A,FALSE,"신규dep-기계,공구상각후"}</definedName>
    <definedName name="ㅎㄹ소" hidden="1">{#N/A,#N/A,FALSE,"신규dep";#N/A,#N/A,FALSE,"신규dep-금형상각후";#N/A,#N/A,FALSE,"신규dep-연구비상각후";#N/A,#N/A,FALSE,"신규dep-기계,공구상각후"}</definedName>
    <definedName name="ㅎ라" localSheetId="0" hidden="1">{#N/A,#N/A,TRUE,"Y생산";#N/A,#N/A,TRUE,"Y판매";#N/A,#N/A,TRUE,"Y총물량";#N/A,#N/A,TRUE,"Y능력";#N/A,#N/A,TRUE,"YKD"}</definedName>
    <definedName name="ㅎ라" hidden="1">{#N/A,#N/A,TRUE,"Y생산";#N/A,#N/A,TRUE,"Y판매";#N/A,#N/A,TRUE,"Y총물량";#N/A,#N/A,TRUE,"Y능력";#N/A,#N/A,TRUE,"YKD"}</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ㅎ호ㅗㅎ" localSheetId="0" hidden="1">{#N/A,#N/A,FALSE,"단축1";#N/A,#N/A,FALSE,"단축2";#N/A,#N/A,FALSE,"단축3";#N/A,#N/A,FALSE,"장축";#N/A,#N/A,FALSE,"4WD"}</definedName>
    <definedName name="ㅎ호ㅗㅎ" hidden="1">{#N/A,#N/A,FALSE,"단축1";#N/A,#N/A,FALSE,"단축2";#N/A,#N/A,FALSE,"단축3";#N/A,#N/A,FALSE,"장축";#N/A,#N/A,FALSE,"4WD"}</definedName>
    <definedName name="하하" localSheetId="0" hidden="1">{#N/A,#N/A,FALSE,"단축1";#N/A,#N/A,FALSE,"단축2";#N/A,#N/A,FALSE,"단축3";#N/A,#N/A,FALSE,"장축";#N/A,#N/A,FALSE,"4WD"}</definedName>
    <definedName name="하하" hidden="1">{#N/A,#N/A,FALSE,"단축1";#N/A,#N/A,FALSE,"단축2";#N/A,#N/A,FALSE,"단축3";#N/A,#N/A,FALSE,"장축";#N/A,#N/A,FALSE,"4WD"}</definedName>
    <definedName name="하핳" localSheetId="0" hidden="1">{#N/A,#N/A,TRUE,"Y생산";#N/A,#N/A,TRUE,"Y판매";#N/A,#N/A,TRUE,"Y총물량";#N/A,#N/A,TRUE,"Y능력";#N/A,#N/A,TRUE,"YKD"}</definedName>
    <definedName name="하핳" hidden="1">{#N/A,#N/A,TRUE,"Y생산";#N/A,#N/A,TRUE,"Y판매";#N/A,#N/A,TRUE,"Y총물량";#N/A,#N/A,TRUE,"Y능력";#N/A,#N/A,TRUE,"YKD"}</definedName>
    <definedName name="학" localSheetId="0" hidden="1">{#N/A,#N/A,FALSE,"단축1";#N/A,#N/A,FALSE,"단축2";#N/A,#N/A,FALSE,"단축3";#N/A,#N/A,FALSE,"장축";#N/A,#N/A,FALSE,"4WD"}</definedName>
    <definedName name="학" hidden="1">{#N/A,#N/A,FALSE,"단축1";#N/A,#N/A,FALSE,"단축2";#N/A,#N/A,FALSE,"단축3";#N/A,#N/A,FALSE,"장축";#N/A,#N/A,FALSE,"4WD"}</definedName>
    <definedName name="학교" localSheetId="0" hidden="1">{#N/A,#N/A,FALSE,"단축1";#N/A,#N/A,FALSE,"단축2";#N/A,#N/A,FALSE,"단축3";#N/A,#N/A,FALSE,"장축";#N/A,#N/A,FALSE,"4WD"}</definedName>
    <definedName name="학교" hidden="1">{#N/A,#N/A,FALSE,"단축1";#N/A,#N/A,FALSE,"단축2";#N/A,#N/A,FALSE,"단축3";#N/A,#N/A,FALSE,"장축";#N/A,#N/A,FALSE,"4WD"}</definedName>
    <definedName name="한" localSheetId="0" hidden="1">{#N/A,#N/A,FALSE,"단축1";#N/A,#N/A,FALSE,"단축2";#N/A,#N/A,FALSE,"단축3";#N/A,#N/A,FALSE,"장축";#N/A,#N/A,FALSE,"4WD"}</definedName>
    <definedName name="한" hidden="1">{#N/A,#N/A,FALSE,"단축1";#N/A,#N/A,FALSE,"단축2";#N/A,#N/A,FALSE,"단축3";#N/A,#N/A,FALSE,"장축";#N/A,#N/A,FALSE,"4WD"}</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합의서입니다" localSheetId="0" hidden="1">{#N/A,#N/A,FALSE,"단축1";#N/A,#N/A,FALSE,"단축2";#N/A,#N/A,FALSE,"단축3";#N/A,#N/A,FALSE,"장축";#N/A,#N/A,FALSE,"4WD"}</definedName>
    <definedName name="합의서입니다" hidden="1">{#N/A,#N/A,FALSE,"단축1";#N/A,#N/A,FALSE,"단축2";#N/A,#N/A,FALSE,"단축3";#N/A,#N/A,FALSE,"장축";#N/A,#N/A,FALSE,"4WD"}</definedName>
    <definedName name="항공거리">'[8]#4. 거리 Back Data'!$E$12:$F$1048576</definedName>
    <definedName name="항공기종1">'[12]이동연소 연료 배출계수(항공)'!$C$2:$C$13</definedName>
    <definedName name="항공기종2">'[12]이동연소 연료 배출계수(항공)'!$C$15:$C$66</definedName>
    <definedName name="항공편별비행거리">'[6]Raw-Data - Category 6 해외출장'!$M$7:$N$84</definedName>
    <definedName name="핳아아ㅏㅇ" localSheetId="0" hidden="1">{#N/A,#N/A,FALSE,"단축1";#N/A,#N/A,FALSE,"단축2";#N/A,#N/A,FALSE,"단축3";#N/A,#N/A,FALSE,"장축";#N/A,#N/A,FALSE,"4WD"}</definedName>
    <definedName name="핳아아ㅏㅇ" hidden="1">{#N/A,#N/A,FALSE,"단축1";#N/A,#N/A,FALSE,"단축2";#N/A,#N/A,FALSE,"단축3";#N/A,#N/A,FALSE,"장축";#N/A,#N/A,FALSE,"4WD"}</definedName>
    <definedName name="해당없음">#REF!</definedName>
    <definedName name="해상거리">'[8]#4. 거리 Back Data'!$B$12:$C$1048576</definedName>
    <definedName name="해외매출">#REF!</definedName>
    <definedName name="행지2" localSheetId="0" hidden="1">{#N/A,#N/A,FALSE,"단축1";#N/A,#N/A,FALSE,"단축2";#N/A,#N/A,FALSE,"단축3";#N/A,#N/A,FALSE,"장축";#N/A,#N/A,FALSE,"4WD"}</definedName>
    <definedName name="행지2"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허ㅓ" localSheetId="0" hidden="1">{#N/A,#N/A,FALSE,"단축1";#N/A,#N/A,FALSE,"단축2";#N/A,#N/A,FALSE,"단축3";#N/A,#N/A,FALSE,"장축";#N/A,#N/A,FALSE,"4WD"}</definedName>
    <definedName name="허ㅓ" hidden="1">{#N/A,#N/A,FALSE,"단축1";#N/A,#N/A,FALSE,"단축2";#N/A,#N/A,FALSE,"단축3";#N/A,#N/A,FALSE,"장축";#N/A,#N/A,FALSE,"4WD"}</definedName>
    <definedName name="헉데머ㅡ" localSheetId="0" hidden="1">{#N/A,#N/A,FALSE,"단축1";#N/A,#N/A,FALSE,"단축2";#N/A,#N/A,FALSE,"단축3";#N/A,#N/A,FALSE,"장축";#N/A,#N/A,FALSE,"4WD"}</definedName>
    <definedName name="헉데머ㅡ" hidden="1">{#N/A,#N/A,FALSE,"단축1";#N/A,#N/A,FALSE,"단축2";#N/A,#N/A,FALSE,"단축3";#N/A,#N/A,FALSE,"장축";#N/A,#N/A,FALSE,"4WD"}</definedName>
    <definedName name="현" localSheetId="0"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대" localSheetId="0" hidden="1">{#N/A,#N/A,FALSE,"정공"}</definedName>
    <definedName name="현대" hidden="1">{#N/A,#N/A,FALSE,"정공"}</definedName>
    <definedName name="현대정공구매현황1" localSheetId="0" hidden="1">{#N/A,#N/A,FALSE,"정공"}</definedName>
    <definedName name="현대정공구매현황1" hidden="1">{#N/A,#N/A,FALSE,"정공"}</definedName>
    <definedName name="현대차실적" localSheetId="0" hidden="1">{#N/A,#N/A,FALSE,"단축1";#N/A,#N/A,FALSE,"단축2";#N/A,#N/A,FALSE,"단축3";#N/A,#N/A,FALSE,"장축";#N/A,#N/A,FALSE,"4WD"}</definedName>
    <definedName name="현대차실적" hidden="1">{#N/A,#N/A,FALSE,"단축1";#N/A,#N/A,FALSE,"단축2";#N/A,#N/A,FALSE,"단축3";#N/A,#N/A,FALSE,"장축";#N/A,#N/A,FALSE,"4WD"}</definedName>
    <definedName name="현조직변경내용" localSheetId="0" hidden="1">{#N/A,#N/A,FALSE,"단축1";#N/A,#N/A,FALSE,"단축2";#N/A,#N/A,FALSE,"단축3";#N/A,#N/A,FALSE,"장축";#N/A,#N/A,FALSE,"4WD"}</definedName>
    <definedName name="현조직변경내용" hidden="1">{#N/A,#N/A,FALSE,"단축1";#N/A,#N/A,FALSE,"단축2";#N/A,#N/A,FALSE,"단축3";#N/A,#N/A,FALSE,"장축";#N/A,#N/A,FALSE,"4WD"}</definedName>
    <definedName name="현주" localSheetId="0" hidden="1">{#N/A,#N/A,FALSE,"단축1";#N/A,#N/A,FALSE,"단축2";#N/A,#N/A,FALSE,"단축3";#N/A,#N/A,FALSE,"장축";#N/A,#N/A,FALSE,"4WD"}</definedName>
    <definedName name="현주" hidden="1">{#N/A,#N/A,FALSE,"단축1";#N/A,#N/A,FALSE,"단축2";#N/A,#N/A,FALSE,"단축3";#N/A,#N/A,FALSE,"장축";#N/A,#N/A,FALSE,"4WD"}</definedName>
    <definedName name="현주1" localSheetId="0" hidden="1">{#N/A,#N/A,FALSE,"단축1";#N/A,#N/A,FALSE,"단축2";#N/A,#N/A,FALSE,"단축3";#N/A,#N/A,FALSE,"장축";#N/A,#N/A,FALSE,"4WD"}</definedName>
    <definedName name="현주1" hidden="1">{#N/A,#N/A,FALSE,"단축1";#N/A,#N/A,FALSE,"단축2";#N/A,#N/A,FALSE,"단축3";#N/A,#N/A,FALSE,"장축";#N/A,#N/A,FALSE,"4WD"}</definedName>
    <definedName name="현황2" localSheetId="0" hidden="1">{#N/A,#N/A,FALSE,"단축1";#N/A,#N/A,FALSE,"단축2";#N/A,#N/A,FALSE,"단축3";#N/A,#N/A,FALSE,"장축";#N/A,#N/A,FALSE,"4WD"}</definedName>
    <definedName name="현황2" hidden="1">{#N/A,#N/A,FALSE,"단축1";#N/A,#N/A,FALSE,"단축2";#N/A,#N/A,FALSE,"단축3";#N/A,#N/A,FALSE,"장축";#N/A,#N/A,FALSE,"4WD"}</definedName>
    <definedName name="협조사항" localSheetId="0" hidden="1">{#N/A,#N/A,FALSE,"단축1";#N/A,#N/A,FALSE,"단축2";#N/A,#N/A,FALSE,"단축3";#N/A,#N/A,FALSE,"장축";#N/A,#N/A,FALSE,"4WD"}</definedName>
    <definedName name="협조사항" hidden="1">{#N/A,#N/A,FALSE,"단축1";#N/A,#N/A,FALSE,"단축2";#N/A,#N/A,FALSE,"단축3";#N/A,#N/A,FALSE,"장축";#N/A,#N/A,FALSE,"4WD"}</definedName>
    <definedName name="호ㅎ허ㅗㅓ화" localSheetId="0" hidden="1">{#N/A,#N/A,FALSE,"단축1";#N/A,#N/A,FALSE,"단축2";#N/A,#N/A,FALSE,"단축3";#N/A,#N/A,FALSE,"장축";#N/A,#N/A,FALSE,"4WD"}</definedName>
    <definedName name="호ㅎ허ㅗㅓ화" hidden="1">{#N/A,#N/A,FALSE,"단축1";#N/A,#N/A,FALSE,"단축2";#N/A,#N/A,FALSE,"단축3";#N/A,#N/A,FALSE,"장축";#N/A,#N/A,FALSE,"4WD"}</definedName>
    <definedName name="호ㅓㅏ" localSheetId="0" hidden="1">{#N/A,#N/A,FALSE,"96 3월물량표";#N/A,#N/A,FALSE,"96 4월물량표";#N/A,#N/A,FALSE,"96 5월물량표"}</definedName>
    <definedName name="호ㅓㅏ" hidden="1">{#N/A,#N/A,FALSE,"96 3월물량표";#N/A,#N/A,FALSE,"96 4월물량표";#N/A,#N/A,FALSE,"96 5월물량표"}</definedName>
    <definedName name="홍" localSheetId="0" hidden="1">{#N/A,#N/A,FALSE,"96 3월물량표";#N/A,#N/A,FALSE,"96 4월물량표";#N/A,#N/A,FALSE,"96 5월물량표"}</definedName>
    <definedName name="홍" hidden="1">{#N/A,#N/A,FALSE,"96 3월물량표";#N/A,#N/A,FALSE,"96 4월물량표";#N/A,#N/A,FALSE,"96 5월물량표"}</definedName>
    <definedName name="홍호" localSheetId="0" hidden="1">{#N/A,#N/A,FALSE,"단축1";#N/A,#N/A,FALSE,"단축2";#N/A,#N/A,FALSE,"단축3";#N/A,#N/A,FALSE,"장축";#N/A,#N/A,FALSE,"4WD"}</definedName>
    <definedName name="홍호" hidden="1">{#N/A,#N/A,FALSE,"단축1";#N/A,#N/A,FALSE,"단축2";#N/A,#N/A,FALSE,"단축3";#N/A,#N/A,FALSE,"장축";#N/A,#N/A,FALSE,"4WD"}</definedName>
    <definedName name="환경성적표지전문">'[6]#배출계수 환경성적표지_원료, 에너지,폐기물'!$C$7:$F$250</definedName>
    <definedName name="회장사전보고" localSheetId="0" hidden="1">{#N/A,#N/A,FALSE,"단축1";#N/A,#N/A,FALSE,"단축2";#N/A,#N/A,FALSE,"단축3";#N/A,#N/A,FALSE,"장축";#N/A,#N/A,FALSE,"4WD"}</definedName>
    <definedName name="회장사전보고" hidden="1">{#N/A,#N/A,FALSE,"단축1";#N/A,#N/A,FALSE,"단축2";#N/A,#N/A,FALSE,"단축3";#N/A,#N/A,FALSE,"장축";#N/A,#N/A,FALSE,"4WD"}</definedName>
    <definedName name="효ㅗ효ㅏㅛㅕㅏㅏㅣ" localSheetId="0" hidden="1">{#N/A,#N/A,FALSE,"신규dep";#N/A,#N/A,FALSE,"신규dep-금형상각후";#N/A,#N/A,FALSE,"신규dep-연구비상각후";#N/A,#N/A,FALSE,"신규dep-기계,공구상각후"}</definedName>
    <definedName name="효ㅗ효ㅏㅛㅕㅏㅏㅣ" hidden="1">{#N/A,#N/A,FALSE,"신규dep";#N/A,#N/A,FALSE,"신규dep-금형상각후";#N/A,#N/A,FALSE,"신규dep-연구비상각후";#N/A,#N/A,FALSE,"신규dep-기계,공구상각후"}</definedName>
    <definedName name="흠" localSheetId="0" hidden="1">{#N/A,#N/A,FALSE,"단축1";#N/A,#N/A,FALSE,"단축2";#N/A,#N/A,FALSE,"단축3";#N/A,#N/A,FALSE,"장축";#N/A,#N/A,FALSE,"4WD"}</definedName>
    <definedName name="흠" hidden="1">{#N/A,#N/A,FALSE,"단축1";#N/A,#N/A,FALSE,"단축2";#N/A,#N/A,FALSE,"단축3";#N/A,#N/A,FALSE,"장축";#N/A,#N/A,FALSE,"4WD"}</definedName>
    <definedName name="흡2" localSheetId="0" hidden="1">{#N/A,#N/A,FALSE,"단축1";#N/A,#N/A,FALSE,"단축2";#N/A,#N/A,FALSE,"단축3";#N/A,#N/A,FALSE,"장축";#N/A,#N/A,FALSE,"4WD"}</definedName>
    <definedName name="흡2" hidden="1">{#N/A,#N/A,FALSE,"단축1";#N/A,#N/A,FALSE,"단축2";#N/A,#N/A,FALSE,"단축3";#N/A,#N/A,FALSE,"장축";#N/A,#N/A,FALSE,"4WD"}</definedName>
    <definedName name="흡기" localSheetId="0" hidden="1">{#N/A,#N/A,FALSE,"단축1";#N/A,#N/A,FALSE,"단축2";#N/A,#N/A,FALSE,"단축3";#N/A,#N/A,FALSE,"장축";#N/A,#N/A,FALSE,"4WD"}</definedName>
    <definedName name="흡기" hidden="1">{#N/A,#N/A,FALSE,"단축1";#N/A,#N/A,FALSE,"단축2";#N/A,#N/A,FALSE,"단축3";#N/A,#N/A,FALSE,"장축";#N/A,#N/A,FALSE,"4WD"}</definedName>
    <definedName name="흡배기" localSheetId="0" hidden="1">{#N/A,#N/A,FALSE,"표지";#N/A,#N/A,FALSE,"전제";#N/A,#N/A,FALSE,"대당";#N/A,#N/A,FALSE,"가공비";#N/A,#N/A,FALSE,"재료비";#N/A,#N/A,FALSE,"손익"}</definedName>
    <definedName name="흡배기" hidden="1">{#N/A,#N/A,FALSE,"표지";#N/A,#N/A,FALSE,"전제";#N/A,#N/A,FALSE,"대당";#N/A,#N/A,FALSE,"가공비";#N/A,#N/A,FALSE,"재료비";#N/A,#N/A,FALSE,"손익"}</definedName>
    <definedName name="ㅏ" localSheetId="0" hidden="1">{#N/A,#N/A,FALSE,"표지";#N/A,#N/A,FALSE,"전제";#N/A,#N/A,FALSE,"손익-자 (2)";#N/A,#N/A,FALSE,"손익-자";#N/A,#N/A,FALSE,"손익-마 (2)";#N/A,#N/A,FALSE,"손익-마";#N/A,#N/A,FALSE,"총손최종"}</definedName>
    <definedName name="ㅏ" hidden="1">{#N/A,#N/A,FALSE,"표지";#N/A,#N/A,FALSE,"전제";#N/A,#N/A,FALSE,"손익-자 (2)";#N/A,#N/A,FALSE,"손익-자";#N/A,#N/A,FALSE,"손익-마 (2)";#N/A,#N/A,FALSE,"손익-마";#N/A,#N/A,FALSE,"총손최종"}</definedName>
    <definedName name="ㅏ라라" localSheetId="0" hidden="1">{#N/A,#N/A,FALSE,"단축1";#N/A,#N/A,FALSE,"단축2";#N/A,#N/A,FALSE,"단축3";#N/A,#N/A,FALSE,"장축";#N/A,#N/A,FALSE,"4WD"}</definedName>
    <definedName name="ㅏ라라" hidden="1">{#N/A,#N/A,FALSE,"단축1";#N/A,#N/A,FALSE,"단축2";#N/A,#N/A,FALSE,"단축3";#N/A,#N/A,FALSE,"장축";#N/A,#N/A,FALSE,"4WD"}</definedName>
    <definedName name="ㅏ아ㅏㅇ" localSheetId="0" hidden="1">{#N/A,#N/A,FALSE,"단축1";#N/A,#N/A,FALSE,"단축2";#N/A,#N/A,FALSE,"단축3";#N/A,#N/A,FALSE,"장축";#N/A,#N/A,FALSE,"4WD"}</definedName>
    <definedName name="ㅏ아ㅏㅇ" hidden="1">{#N/A,#N/A,FALSE,"단축1";#N/A,#N/A,FALSE,"단축2";#N/A,#N/A,FALSE,"단축3";#N/A,#N/A,FALSE,"장축";#N/A,#N/A,FALSE,"4WD"}</definedName>
    <definedName name="ㅏ알어ㅏㅇ" localSheetId="0" hidden="1">{#N/A,#N/A,FALSE,"단축1";#N/A,#N/A,FALSE,"단축2";#N/A,#N/A,FALSE,"단축3";#N/A,#N/A,FALSE,"장축";#N/A,#N/A,FALSE,"4WD"}</definedName>
    <definedName name="ㅏ알어ㅏㅇ" hidden="1">{#N/A,#N/A,FALSE,"단축1";#N/A,#N/A,FALSE,"단축2";#N/A,#N/A,FALSE,"단축3";#N/A,#N/A,FALSE,"장축";#N/A,#N/A,FALSE,"4WD"}</definedName>
    <definedName name="ㅏㅏ앙니ㅏㅇ린" localSheetId="0" hidden="1">{#N/A,#N/A,FALSE,"단축1";#N/A,#N/A,FALSE,"단축2";#N/A,#N/A,FALSE,"단축3";#N/A,#N/A,FALSE,"장축";#N/A,#N/A,FALSE,"4WD"}</definedName>
    <definedName name="ㅏㅏ앙니ㅏㅇ린" hidden="1">{#N/A,#N/A,FALSE,"단축1";#N/A,#N/A,FALSE,"단축2";#N/A,#N/A,FALSE,"단축3";#N/A,#N/A,FALSE,"장축";#N/A,#N/A,FALSE,"4WD"}</definedName>
    <definedName name="ㅏㅏ앱재어낭ㄴ" localSheetId="0" hidden="1">{#N/A,#N/A,FALSE,"단축1";#N/A,#N/A,FALSE,"단축2";#N/A,#N/A,FALSE,"단축3";#N/A,#N/A,FALSE,"장축";#N/A,#N/A,FALSE,"4WD"}</definedName>
    <definedName name="ㅏㅏ앱재어낭ㄴ" hidden="1">{#N/A,#N/A,FALSE,"단축1";#N/A,#N/A,FALSE,"단축2";#N/A,#N/A,FALSE,"단축3";#N/A,#N/A,FALSE,"장축";#N/A,#N/A,FALSE,"4WD"}</definedName>
    <definedName name="ㅏㅓ" localSheetId="0" hidden="1">{#N/A,#N/A,FALSE,"단축1";#N/A,#N/A,FALSE,"단축2";#N/A,#N/A,FALSE,"단축3";#N/A,#N/A,FALSE,"장축";#N/A,#N/A,FALSE,"4WD"}</definedName>
    <definedName name="ㅏㅓ" hidden="1">{#N/A,#N/A,FALSE,"단축1";#N/A,#N/A,FALSE,"단축2";#N/A,#N/A,FALSE,"단축3";#N/A,#N/A,FALSE,"장축";#N/A,#N/A,FALSE,"4WD"}</definedName>
    <definedName name="ㅏㅣ" localSheetId="0" hidden="1">{#N/A,#N/A,FALSE,"96 3월물량표";#N/A,#N/A,FALSE,"96 4월물량표";#N/A,#N/A,FALSE,"96 5월물량표"}</definedName>
    <definedName name="ㅏㅣ" hidden="1">{#N/A,#N/A,FALSE,"96 3월물량표";#N/A,#N/A,FALSE,"96 4월물량표";#N/A,#N/A,FALSE,"96 5월물량표"}</definedName>
    <definedName name="ㅐ" localSheetId="0" hidden="1">{#N/A,#N/A,FALSE,"신규dep";#N/A,#N/A,FALSE,"신규dep-금형상각후";#N/A,#N/A,FALSE,"신규dep-연구비상각후";#N/A,#N/A,FALSE,"신규dep-기계,공구상각후"}</definedName>
    <definedName name="ㅐ" hidden="1">{#N/A,#N/A,FALSE,"신규dep";#N/A,#N/A,FALSE,"신규dep-금형상각후";#N/A,#N/A,FALSE,"신규dep-연구비상각후";#N/A,#N/A,FALSE,"신규dep-기계,공구상각후"}</definedName>
    <definedName name="ㅐㅐㅐㅐ" localSheetId="0" hidden="1">{#N/A,#N/A,FALSE,"단축1";#N/A,#N/A,FALSE,"단축2";#N/A,#N/A,FALSE,"단축3";#N/A,#N/A,FALSE,"장축";#N/A,#N/A,FALSE,"4WD"}</definedName>
    <definedName name="ㅐㅐㅐㅐ" hidden="1">{#N/A,#N/A,FALSE,"단축1";#N/A,#N/A,FALSE,"단축2";#N/A,#N/A,FALSE,"단축3";#N/A,#N/A,FALSE,"장축";#N/A,#N/A,FALSE,"4WD"}</definedName>
    <definedName name="ㅑ" localSheetId="0" hidden="1">{#N/A,#N/A,FALSE,"표지";#N/A,#N/A,FALSE,"전제";#N/A,#N/A,FALSE,"손익-자 (2)";#N/A,#N/A,FALSE,"손익-자";#N/A,#N/A,FALSE,"손익-마 (2)";#N/A,#N/A,FALSE,"손익-마";#N/A,#N/A,FALSE,"총손최종"}</definedName>
    <definedName name="ㅑ" hidden="1">{#N/A,#N/A,FALSE,"표지";#N/A,#N/A,FALSE,"전제";#N/A,#N/A,FALSE,"손익-자 (2)";#N/A,#N/A,FALSE,"손익-자";#N/A,#N/A,FALSE,"손익-마 (2)";#N/A,#N/A,FALSE,"손익-마";#N/A,#N/A,FALSE,"총손최종"}</definedName>
    <definedName name="ㅑㅐ무ㅏㅣ" localSheetId="0" hidden="1">{#N/A,#N/A,FALSE,"단축1";#N/A,#N/A,FALSE,"단축2";#N/A,#N/A,FALSE,"단축3";#N/A,#N/A,FALSE,"장축";#N/A,#N/A,FALSE,"4WD"}</definedName>
    <definedName name="ㅑㅐ무ㅏㅣ" hidden="1">{#N/A,#N/A,FALSE,"단축1";#N/A,#N/A,FALSE,"단축2";#N/A,#N/A,FALSE,"단축3";#N/A,#N/A,FALSE,"장축";#N/A,#N/A,FALSE,"4WD"}</definedName>
    <definedName name="ㅑㅑ" localSheetId="0" hidden="1">{#N/A,#N/A,FALSE,"단축1";#N/A,#N/A,FALSE,"단축2";#N/A,#N/A,FALSE,"단축3";#N/A,#N/A,FALSE,"장축";#N/A,#N/A,FALSE,"4WD"}</definedName>
    <definedName name="ㅑㅑ" hidden="1">{#N/A,#N/A,FALSE,"단축1";#N/A,#N/A,FALSE,"단축2";#N/A,#N/A,FALSE,"단축3";#N/A,#N/A,FALSE,"장축";#N/A,#N/A,FALSE,"4WD"}</definedName>
    <definedName name="ㅓ" localSheetId="0" hidden="1">{#N/A,#N/A,TRUE,"Y생산";#N/A,#N/A,TRUE,"Y판매";#N/A,#N/A,TRUE,"Y총물량";#N/A,#N/A,TRUE,"Y능력";#N/A,#N/A,TRUE,"YKD"}</definedName>
    <definedName name="ㅓ" hidden="1">{#N/A,#N/A,TRUE,"Y생산";#N/A,#N/A,TRUE,"Y판매";#N/A,#N/A,TRUE,"Y총물량";#N/A,#N/A,TRUE,"Y능력";#N/A,#N/A,TRUE,"YKD"}</definedName>
    <definedName name="ㅓㅏㅗ" localSheetId="0" hidden="1">{#N/A,#N/A,TRUE,"Y생산";#N/A,#N/A,TRUE,"Y판매";#N/A,#N/A,TRUE,"Y총물량";#N/A,#N/A,TRUE,"Y능력";#N/A,#N/A,TRUE,"YKD"}</definedName>
    <definedName name="ㅓㅏㅗ" hidden="1">{#N/A,#N/A,TRUE,"Y생산";#N/A,#N/A,TRUE,"Y판매";#N/A,#N/A,TRUE,"Y총물량";#N/A,#N/A,TRUE,"Y능력";#N/A,#N/A,TRUE,"YKD"}</definedName>
    <definedName name="ㅓㅓㄹ" localSheetId="0" hidden="1">{#N/A,#N/A,FALSE,"단축1";#N/A,#N/A,FALSE,"단축2";#N/A,#N/A,FALSE,"단축3";#N/A,#N/A,FALSE,"장축";#N/A,#N/A,FALSE,"4WD"}</definedName>
    <definedName name="ㅓㅓㄹ" hidden="1">{#N/A,#N/A,FALSE,"단축1";#N/A,#N/A,FALSE,"단축2";#N/A,#N/A,FALSE,"단축3";#N/A,#N/A,FALSE,"장축";#N/A,#N/A,FALSE,"4WD"}</definedName>
    <definedName name="ㅓㅓㅓㅇ" localSheetId="0" hidden="1">{#N/A,#N/A,FALSE,"단축1";#N/A,#N/A,FALSE,"단축2";#N/A,#N/A,FALSE,"단축3";#N/A,#N/A,FALSE,"장축";#N/A,#N/A,FALSE,"4WD"}</definedName>
    <definedName name="ㅓㅓㅓㅇ" hidden="1">{#N/A,#N/A,FALSE,"단축1";#N/A,#N/A,FALSE,"단축2";#N/A,#N/A,FALSE,"단축3";#N/A,#N/A,FALSE,"장축";#N/A,#N/A,FALSE,"4WD"}</definedName>
    <definedName name="ㅓㅕㄹ교ㅕㅓㅛㅏ" localSheetId="0" hidden="1">{#N/A,#N/A,FALSE,"표지";#N/A,#N/A,FALSE,"을지1";#N/A,#N/A,FALSE,"일정1";#N/A,#N/A,FALSE,"일정2";#N/A,#N/A,FALSE,"11T-C";#N/A,#N/A,FALSE,"15T-D";#N/A,#N/A,FALSE,"판매현황";#N/A,#N/A,FALSE,"업무 FLOW"}</definedName>
    <definedName name="ㅓㅕㄹ교ㅕㅓㅛㅏ" hidden="1">{#N/A,#N/A,FALSE,"표지";#N/A,#N/A,FALSE,"을지1";#N/A,#N/A,FALSE,"일정1";#N/A,#N/A,FALSE,"일정2";#N/A,#N/A,FALSE,"11T-C";#N/A,#N/A,FALSE,"15T-D";#N/A,#N/A,FALSE,"판매현황";#N/A,#N/A,FALSE,"업무 FLOW"}</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{#N/A,#N/A,FALSE,"표지";#N/A,#N/A,FALSE,"을지1";#N/A,#N/A,FALSE,"일정1";#N/A,#N/A,FALSE,"일정2";#N/A,#N/A,FALSE,"11T-C";#N/A,#N/A,FALSE,"15T-D";#N/A,#N/A,FALSE,"판매현황";#N/A,#N/A,FALSE,"업무 FLOW"}</definedName>
    <definedName name="ㅕ" hidden="1">{#N/A,#N/A,FALSE,"표지";#N/A,#N/A,FALSE,"을지1";#N/A,#N/A,FALSE,"일정1";#N/A,#N/A,FALSE,"일정2";#N/A,#N/A,FALSE,"11T-C";#N/A,#N/A,FALSE,"15T-D";#N/A,#N/A,FALSE,"판매현황";#N/A,#N/A,FALSE,"업무 FLOW"}</definedName>
    <definedName name="ㅗ" localSheetId="0" hidden="1">{#N/A,#N/A,FALSE,"표지";#N/A,#N/A,FALSE,"전제";#N/A,#N/A,FALSE,"대당";#N/A,#N/A,FALSE,"가공비";#N/A,#N/A,FALSE,"재료비";#N/A,#N/A,FALSE,"손익"}</definedName>
    <definedName name="ㅗ" hidden="1">{#N/A,#N/A,FALSE,"표지";#N/A,#N/A,FALSE,"전제";#N/A,#N/A,FALSE,"대당";#N/A,#N/A,FALSE,"가공비";#N/A,#N/A,FALSE,"재료비";#N/A,#N/A,FALSE,"손익"}</definedName>
    <definedName name="ㅗㅓ" localSheetId="0" hidden="1">{#N/A,#N/A,FALSE,"단축1";#N/A,#N/A,FALSE,"단축2";#N/A,#N/A,FALSE,"단축3";#N/A,#N/A,FALSE,"장축";#N/A,#N/A,FALSE,"4WD"}</definedName>
    <definedName name="ㅗㅓ" hidden="1">{#N/A,#N/A,FALSE,"단축1";#N/A,#N/A,FALSE,"단축2";#N/A,#N/A,FALSE,"단축3";#N/A,#N/A,FALSE,"장축";#N/A,#N/A,FALSE,"4WD"}</definedName>
    <definedName name="ㅗㅗㅗㅗㅗㅗ" localSheetId="0" hidden="1">{#N/A,#N/A,FALSE,"단축1";#N/A,#N/A,FALSE,"단축2";#N/A,#N/A,FALSE,"단축3";#N/A,#N/A,FALSE,"장축";#N/A,#N/A,FALSE,"4WD"}</definedName>
    <definedName name="ㅗㅗㅗㅗㅗㅗ" hidden="1">{#N/A,#N/A,FALSE,"단축1";#N/A,#N/A,FALSE,"단축2";#N/A,#N/A,FALSE,"단축3";#N/A,#N/A,FALSE,"장축";#N/A,#N/A,FALSE,"4WD"}</definedName>
    <definedName name="ㅘㅣㅜ" localSheetId="0" hidden="1">{#N/A,#N/A,FALSE,"단축1";#N/A,#N/A,FALSE,"단축2";#N/A,#N/A,FALSE,"단축3";#N/A,#N/A,FALSE,"장축";#N/A,#N/A,FALSE,"4WD"}</definedName>
    <definedName name="ㅘㅣㅜ" hidden="1">{#N/A,#N/A,FALSE,"단축1";#N/A,#N/A,FALSE,"단축2";#N/A,#N/A,FALSE,"단축3";#N/A,#N/A,FALSE,"장축";#N/A,#N/A,FALSE,"4WD"}</definedName>
    <definedName name="ㅛ" localSheetId="0" hidden="1">{#N/A,#N/A,FALSE,"단축1";#N/A,#N/A,FALSE,"단축2";#N/A,#N/A,FALSE,"단축3";#N/A,#N/A,FALSE,"장축";#N/A,#N/A,FALSE,"4WD"}</definedName>
    <definedName name="ㅛ" hidden="1">{#N/A,#N/A,FALSE,"단축1";#N/A,#N/A,FALSE,"단축2";#N/A,#N/A,FALSE,"단축3";#N/A,#N/A,FALSE,"장축";#N/A,#N/A,FALSE,"4WD"}</definedName>
    <definedName name="ㅛㅇㅈㅂ789ㅐ9ㅐㅇ" localSheetId="0" hidden="1">{#N/A,#N/A,FALSE,"단축1";#N/A,#N/A,FALSE,"단축2";#N/A,#N/A,FALSE,"단축3";#N/A,#N/A,FALSE,"장축";#N/A,#N/A,FALSE,"4WD"}</definedName>
    <definedName name="ㅛㅇㅈㅂ789ㅐ9ㅐㅇ" hidden="1">{#N/A,#N/A,FALSE,"단축1";#N/A,#N/A,FALSE,"단축2";#N/A,#N/A,FALSE,"단축3";#N/A,#N/A,FALSE,"장축";#N/A,#N/A,FALSE,"4WD"}</definedName>
    <definedName name="ㅛㅗㅎㄴㄱ" localSheetId="0"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localSheetId="0" hidden="1">{#N/A,#N/A,FALSE,"단축1";#N/A,#N/A,FALSE,"단축2";#N/A,#N/A,FALSE,"단축3";#N/A,#N/A,FALSE,"장축";#N/A,#N/A,FALSE,"4WD"}</definedName>
    <definedName name="ㅜ" hidden="1">{#N/A,#N/A,FALSE,"단축1";#N/A,#N/A,FALSE,"단축2";#N/A,#N/A,FALSE,"단축3";#N/A,#N/A,FALSE,"장축";#N/A,#N/A,FALSE,"4WD"}</definedName>
    <definedName name="ㅜㅜ" localSheetId="0" hidden="1">{#N/A,#N/A,TRUE,"Y생산";#N/A,#N/A,TRUE,"Y판매";#N/A,#N/A,TRUE,"Y총물량";#N/A,#N/A,TRUE,"Y능력";#N/A,#N/A,TRUE,"YKD"}</definedName>
    <definedName name="ㅜㅜ" hidden="1">{#N/A,#N/A,TRUE,"Y생산";#N/A,#N/A,TRUE,"Y판매";#N/A,#N/A,TRUE,"Y총물량";#N/A,#N/A,TRUE,"Y능력";#N/A,#N/A,TRUE,"YKD"}</definedName>
    <definedName name="ㅜㅜㅜㅜㅜ" localSheetId="0" hidden="1">{#N/A,#N/A,FALSE,"단축1";#N/A,#N/A,FALSE,"단축2";#N/A,#N/A,FALSE,"단축3";#N/A,#N/A,FALSE,"장축";#N/A,#N/A,FALSE,"4WD"}</definedName>
    <definedName name="ㅜㅜㅜㅜㅜ" hidden="1">{#N/A,#N/A,FALSE,"단축1";#N/A,#N/A,FALSE,"단축2";#N/A,#N/A,FALSE,"단축3";#N/A,#N/A,FALSE,"장축";#N/A,#N/A,FALSE,"4WD"}</definedName>
    <definedName name="ㅝㅑㅣ" localSheetId="0" hidden="1">{#N/A,#N/A,FALSE,"단축1";#N/A,#N/A,FALSE,"단축2";#N/A,#N/A,FALSE,"단축3";#N/A,#N/A,FALSE,"장축";#N/A,#N/A,FALSE,"4WD"}</definedName>
    <definedName name="ㅝㅑㅣ" hidden="1">{#N/A,#N/A,FALSE,"단축1";#N/A,#N/A,FALSE,"단축2";#N/A,#N/A,FALSE,"단축3";#N/A,#N/A,FALSE,"장축";#N/A,#N/A,FALSE,"4WD"}</definedName>
    <definedName name="ㅠㅕㅛ" localSheetId="0" hidden="1">{#N/A,#N/A,FALSE,"단축1";#N/A,#N/A,FALSE,"단축2";#N/A,#N/A,FALSE,"단축3";#N/A,#N/A,FALSE,"장축";#N/A,#N/A,FALSE,"4WD"}</definedName>
    <definedName name="ㅠㅕㅛ" hidden="1">{#N/A,#N/A,FALSE,"단축1";#N/A,#N/A,FALSE,"단축2";#N/A,#N/A,FALSE,"단축3";#N/A,#N/A,FALSE,"장축";#N/A,#N/A,FALSE,"4WD"}</definedName>
    <definedName name="ㅠㅛ" localSheetId="0" hidden="1">{#N/A,#N/A,FALSE,"표지";#N/A,#N/A,FALSE,"전제";#N/A,#N/A,FALSE,"손익-자 (2)";#N/A,#N/A,FALSE,"손익-자";#N/A,#N/A,FALSE,"손익-마 (2)";#N/A,#N/A,FALSE,"손익-마";#N/A,#N/A,FALSE,"총손최종"}</definedName>
    <definedName name="ㅠㅛ" hidden="1">{#N/A,#N/A,FALSE,"표지";#N/A,#N/A,FALSE,"전제";#N/A,#N/A,FALSE,"손익-자 (2)";#N/A,#N/A,FALSE,"손익-자";#N/A,#N/A,FALSE,"손익-마 (2)";#N/A,#N/A,FALSE,"손익-마";#N/A,#N/A,FALSE,"총손최종"}</definedName>
    <definedName name="ㅠㅠ" localSheetId="0" hidden="1">{#N/A,#N/A,FALSE,"단축1";#N/A,#N/A,FALSE,"단축2";#N/A,#N/A,FALSE,"단축3";#N/A,#N/A,FALSE,"장축";#N/A,#N/A,FALSE,"4WD"}</definedName>
    <definedName name="ㅠㅠ" hidden="1">{#N/A,#N/A,FALSE,"단축1";#N/A,#N/A,FALSE,"단축2";#N/A,#N/A,FALSE,"단축3";#N/A,#N/A,FALSE,"장축";#N/A,#N/A,FALSE,"4WD"}</definedName>
    <definedName name="ㅡ" localSheetId="0" hidden="1">{#N/A,#N/A,FALSE,"표지";#N/A,#N/A,FALSE,"전제";#N/A,#N/A,FALSE,"손익-자 (2)";#N/A,#N/A,FALSE,"손익-자";#N/A,#N/A,FALSE,"손익-마 (2)";#N/A,#N/A,FALSE,"손익-마";#N/A,#N/A,FALSE,"총손최종"}</definedName>
    <definedName name="ㅡ" hidden="1">{#N/A,#N/A,FALSE,"표지";#N/A,#N/A,FALSE,"전제";#N/A,#N/A,FALSE,"손익-자 (2)";#N/A,#N/A,FALSE,"손익-자";#N/A,#N/A,FALSE,"손익-마 (2)";#N/A,#N/A,FALSE,"손익-마";#N/A,#N/A,FALSE,"총손최종"}</definedName>
    <definedName name="ㅡㅏㅓㅗㅓ" localSheetId="0" hidden="1">{#N/A,#N/A,FALSE,"단축1";#N/A,#N/A,FALSE,"단축2";#N/A,#N/A,FALSE,"단축3";#N/A,#N/A,FALSE,"장축";#N/A,#N/A,FALSE,"4WD"}</definedName>
    <definedName name="ㅡㅏㅓㅗㅓ" hidden="1">{#N/A,#N/A,FALSE,"단축1";#N/A,#N/A,FALSE,"단축2";#N/A,#N/A,FALSE,"단축3";#N/A,#N/A,FALSE,"장축";#N/A,#N/A,FALSE,"4WD"}</definedName>
    <definedName name="ㅡㅡ" localSheetId="0" hidden="1">{#N/A,#N/A,FALSE,"표지";#N/A,#N/A,FALSE,"을지1";#N/A,#N/A,FALSE,"일정1";#N/A,#N/A,FALSE,"일정2";#N/A,#N/A,FALSE,"11T-C";#N/A,#N/A,FALSE,"15T-D";#N/A,#N/A,FALSE,"판매현황";#N/A,#N/A,FALSE,"업무 FLOW"}</definedName>
    <definedName name="ㅡㅡ" hidden="1">{#N/A,#N/A,FALSE,"표지";#N/A,#N/A,FALSE,"을지1";#N/A,#N/A,FALSE,"일정1";#N/A,#N/A,FALSE,"일정2";#N/A,#N/A,FALSE,"11T-C";#N/A,#N/A,FALSE,"15T-D";#N/A,#N/A,FALSE,"판매현황";#N/A,#N/A,FALSE,"업무 FLOW"}</definedName>
    <definedName name="ㅣ" localSheetId="0" hidden="1">{#N/A,#N/A,FALSE,"단축1";#N/A,#N/A,FALSE,"단축2";#N/A,#N/A,FALSE,"단축3";#N/A,#N/A,FALSE,"장축";#N/A,#N/A,FALSE,"4WD"}</definedName>
    <definedName name="ㅣ" hidden="1">{#N/A,#N/A,FALSE,"단축1";#N/A,#N/A,FALSE,"단축2";#N/A,#N/A,FALSE,"단축3";#N/A,#N/A,FALSE,"장축";#N/A,#N/A,FALSE,"4WD"}</definedName>
    <definedName name="ㅣ136">#REF!</definedName>
    <definedName name="ㅣㅏ" localSheetId="0" hidden="1">{#N/A,#N/A,FALSE,"단축1";#N/A,#N/A,FALSE,"단축2";#N/A,#N/A,FALSE,"단축3";#N/A,#N/A,FALSE,"장축";#N/A,#N/A,FALSE,"4WD"}</definedName>
    <definedName name="ㅣㅏ" hidden="1">{#N/A,#N/A,FALSE,"단축1";#N/A,#N/A,FALSE,"단축2";#N/A,#N/A,FALSE,"단축3";#N/A,#N/A,FALSE,"장축";#N/A,#N/A,FALSE,"4WD"}</definedName>
    <definedName name="ㅣㅣㅣ" localSheetId="0" hidden="1">{#N/A,#N/A,FALSE,"표지";#N/A,#N/A,FALSE,"전제";#N/A,#N/A,FALSE,"손익-자 (2)";#N/A,#N/A,FALSE,"손익-자";#N/A,#N/A,FALSE,"손익-마 (2)";#N/A,#N/A,FALSE,"손익-마";#N/A,#N/A,FALSE,"총손최종"}</definedName>
    <definedName name="ㅣㅣㅣ" hidden="1">{#N/A,#N/A,FALSE,"표지";#N/A,#N/A,FALSE,"전제";#N/A,#N/A,FALSE,"손익-자 (2)";#N/A,#N/A,FALSE,"손익-자";#N/A,#N/A,FALSE,"손익-마 (2)";#N/A,#N/A,FALSE,"손익-마";#N/A,#N/A,FALSE,"총손최종"}</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79" i="1" l="1"/>
  <c r="AR79" i="1" s="1"/>
  <c r="AP79" i="1"/>
  <c r="AN79" i="1"/>
  <c r="AM79" i="1"/>
  <c r="AL79" i="1"/>
  <c r="AK79" i="1"/>
  <c r="AJ79" i="1"/>
  <c r="AI79" i="1"/>
  <c r="AH79" i="1"/>
  <c r="AG79" i="1"/>
  <c r="AF79" i="1"/>
  <c r="AE79" i="1"/>
  <c r="AD79" i="1"/>
  <c r="AC79" i="1"/>
  <c r="AO79" i="1" s="1"/>
  <c r="AB79" i="1"/>
  <c r="Z79" i="1"/>
  <c r="AA79" i="1" s="1"/>
  <c r="AQ78" i="1"/>
  <c r="AP78" i="1"/>
  <c r="AR78" i="1" s="1"/>
  <c r="AN78" i="1"/>
  <c r="AM78" i="1"/>
  <c r="AL78" i="1"/>
  <c r="AK78" i="1"/>
  <c r="AJ78" i="1"/>
  <c r="AI78" i="1"/>
  <c r="AH78" i="1"/>
  <c r="AG78" i="1"/>
  <c r="AF78" i="1"/>
  <c r="AE78" i="1"/>
  <c r="AD78" i="1"/>
  <c r="AC78" i="1"/>
  <c r="AB78" i="1"/>
  <c r="Z78" i="1"/>
  <c r="AA78" i="1" s="1"/>
  <c r="AQ77" i="1"/>
  <c r="AR77" i="1" s="1"/>
  <c r="AS77" i="1" s="1"/>
  <c r="AP77" i="1"/>
  <c r="AO77" i="1" s="1"/>
  <c r="AN77" i="1"/>
  <c r="AM77" i="1"/>
  <c r="AL77" i="1"/>
  <c r="AK77" i="1"/>
  <c r="AJ77" i="1"/>
  <c r="AI77" i="1"/>
  <c r="AH77" i="1"/>
  <c r="AG77" i="1"/>
  <c r="AF77" i="1"/>
  <c r="AE77" i="1"/>
  <c r="AD77" i="1"/>
  <c r="AC77" i="1"/>
  <c r="AB77" i="1"/>
  <c r="Z77" i="1"/>
  <c r="AA77" i="1" s="1"/>
  <c r="AQ76" i="1"/>
  <c r="AP76" i="1"/>
  <c r="AR76" i="1" s="1"/>
  <c r="AS76" i="1" s="1"/>
  <c r="AN76" i="1"/>
  <c r="AM76" i="1"/>
  <c r="AO76" i="1" s="1"/>
  <c r="AL76" i="1"/>
  <c r="AK76" i="1"/>
  <c r="AJ76" i="1"/>
  <c r="AI76" i="1"/>
  <c r="AH76" i="1"/>
  <c r="AG76" i="1"/>
  <c r="AF76" i="1"/>
  <c r="AE76" i="1"/>
  <c r="AD76" i="1"/>
  <c r="AC76" i="1"/>
  <c r="AB76" i="1"/>
  <c r="Z76" i="1"/>
  <c r="AA76" i="1" s="1"/>
  <c r="AQ75" i="1"/>
  <c r="AP75" i="1"/>
  <c r="AR75" i="1" s="1"/>
  <c r="AS75" i="1" s="1"/>
  <c r="AN75" i="1"/>
  <c r="AM75" i="1"/>
  <c r="AL75" i="1"/>
  <c r="AK75" i="1"/>
  <c r="AJ75" i="1"/>
  <c r="AI75" i="1"/>
  <c r="AO75" i="1" s="1"/>
  <c r="AH75" i="1"/>
  <c r="AG75" i="1"/>
  <c r="AF75" i="1"/>
  <c r="AE75" i="1"/>
  <c r="AD75" i="1"/>
  <c r="AC75" i="1"/>
  <c r="AB75" i="1"/>
  <c r="AU75" i="1" s="1"/>
  <c r="AA75" i="1"/>
  <c r="Z75" i="1"/>
  <c r="AR74" i="1"/>
  <c r="AS74" i="1" s="1"/>
  <c r="AQ74" i="1"/>
  <c r="AP74" i="1"/>
  <c r="AN74" i="1"/>
  <c r="AM74" i="1"/>
  <c r="AL74" i="1"/>
  <c r="AK74" i="1"/>
  <c r="AJ74" i="1"/>
  <c r="AI74" i="1"/>
  <c r="AH74" i="1"/>
  <c r="AG74" i="1"/>
  <c r="AF74" i="1"/>
  <c r="AE74" i="1"/>
  <c r="AO74" i="1" s="1"/>
  <c r="AD74" i="1"/>
  <c r="AC74" i="1"/>
  <c r="AB74" i="1"/>
  <c r="Z74" i="1"/>
  <c r="AA74" i="1" s="1"/>
  <c r="AQ73" i="1"/>
  <c r="AP73" i="1"/>
  <c r="AR73" i="1" s="1"/>
  <c r="AB73" i="1"/>
  <c r="AU73" i="1" s="1"/>
  <c r="AA73" i="1"/>
  <c r="Z73" i="1"/>
  <c r="AV72" i="1"/>
  <c r="AS72" i="1"/>
  <c r="AQ72" i="1"/>
  <c r="AP72" i="1"/>
  <c r="AR72" i="1" s="1"/>
  <c r="AN72" i="1"/>
  <c r="AM72" i="1"/>
  <c r="AL72" i="1"/>
  <c r="AO72" i="1" s="1"/>
  <c r="AK72" i="1"/>
  <c r="AJ72" i="1"/>
  <c r="AI72" i="1"/>
  <c r="AH72" i="1"/>
  <c r="AG72" i="1"/>
  <c r="AF72" i="1"/>
  <c r="AE72" i="1"/>
  <c r="AD72" i="1"/>
  <c r="AC72" i="1"/>
  <c r="AB72" i="1"/>
  <c r="AW72" i="1" s="1"/>
  <c r="AA72" i="1"/>
  <c r="Z72" i="1"/>
  <c r="AW71" i="1"/>
  <c r="AV71" i="1"/>
  <c r="AS71" i="1"/>
  <c r="AQ71" i="1"/>
  <c r="AP71" i="1"/>
  <c r="AR71" i="1" s="1"/>
  <c r="AN71" i="1"/>
  <c r="AM71" i="1"/>
  <c r="AL71" i="1"/>
  <c r="AK71" i="1"/>
  <c r="AJ71" i="1"/>
  <c r="AI71" i="1"/>
  <c r="AH71" i="1"/>
  <c r="AO71" i="1" s="1"/>
  <c r="AG71" i="1"/>
  <c r="AF71" i="1"/>
  <c r="AE71" i="1"/>
  <c r="AD71" i="1"/>
  <c r="AC71" i="1"/>
  <c r="AB71" i="1"/>
  <c r="Z71" i="1"/>
  <c r="AA71" i="1" s="1"/>
  <c r="AW70" i="1"/>
  <c r="AV70" i="1"/>
  <c r="AS70" i="1"/>
  <c r="AQ70" i="1"/>
  <c r="AR70" i="1" s="1"/>
  <c r="AP70" i="1"/>
  <c r="AN70" i="1"/>
  <c r="AM70" i="1"/>
  <c r="AL70" i="1"/>
  <c r="AK70" i="1"/>
  <c r="AJ70" i="1"/>
  <c r="AI70" i="1"/>
  <c r="AH70" i="1"/>
  <c r="AG70" i="1"/>
  <c r="AF70" i="1"/>
  <c r="AE70" i="1"/>
  <c r="AD70" i="1"/>
  <c r="AO70" i="1" s="1"/>
  <c r="AC70" i="1"/>
  <c r="AB70" i="1"/>
  <c r="Z70" i="1"/>
  <c r="AA70" i="1" s="1"/>
  <c r="AQ69" i="1"/>
  <c r="AR69" i="1" s="1"/>
  <c r="AP69" i="1"/>
  <c r="AN69" i="1"/>
  <c r="AM69" i="1"/>
  <c r="AL69" i="1"/>
  <c r="AK69" i="1"/>
  <c r="AJ69" i="1"/>
  <c r="AI69" i="1"/>
  <c r="AH69" i="1"/>
  <c r="AG69" i="1"/>
  <c r="AF69" i="1"/>
  <c r="AE69" i="1"/>
  <c r="AD69" i="1"/>
  <c r="AC69" i="1"/>
  <c r="AO69" i="1" s="1"/>
  <c r="AB69" i="1"/>
  <c r="Z69" i="1"/>
  <c r="AA69" i="1" s="1"/>
  <c r="AQ68" i="1"/>
  <c r="AP68" i="1"/>
  <c r="AR68" i="1" s="1"/>
  <c r="AN68" i="1"/>
  <c r="AM68" i="1"/>
  <c r="AL68" i="1"/>
  <c r="AK68" i="1"/>
  <c r="AJ68" i="1"/>
  <c r="AI68" i="1"/>
  <c r="AH68" i="1"/>
  <c r="AG68" i="1"/>
  <c r="AF68" i="1"/>
  <c r="AE68" i="1"/>
  <c r="AD68" i="1"/>
  <c r="AC68" i="1"/>
  <c r="AB68" i="1"/>
  <c r="Z68" i="1"/>
  <c r="AA68" i="1" s="1"/>
  <c r="AQ67" i="1"/>
  <c r="AP67" i="1"/>
  <c r="AR67" i="1" s="1"/>
  <c r="AN67" i="1"/>
  <c r="AM67" i="1"/>
  <c r="AL67" i="1"/>
  <c r="AK67" i="1"/>
  <c r="AJ67" i="1"/>
  <c r="AI67" i="1"/>
  <c r="AH67" i="1"/>
  <c r="AG67" i="1"/>
  <c r="AF67" i="1"/>
  <c r="AE67" i="1"/>
  <c r="AD67" i="1"/>
  <c r="AC67" i="1"/>
  <c r="AB67" i="1"/>
  <c r="AA67" i="1"/>
  <c r="Z67" i="1"/>
  <c r="AQ66" i="1"/>
  <c r="AP66" i="1"/>
  <c r="AR66" i="1" s="1"/>
  <c r="AS66" i="1" s="1"/>
  <c r="AN66" i="1"/>
  <c r="AM66" i="1"/>
  <c r="AL66" i="1"/>
  <c r="AK66" i="1"/>
  <c r="AJ66" i="1"/>
  <c r="AI66" i="1"/>
  <c r="AH66" i="1"/>
  <c r="AG66" i="1"/>
  <c r="AF66" i="1"/>
  <c r="AE66" i="1"/>
  <c r="AD66" i="1"/>
  <c r="AC66" i="1"/>
  <c r="AB66" i="1"/>
  <c r="AA66" i="1"/>
  <c r="Z66" i="1"/>
  <c r="AQ65" i="1"/>
  <c r="AP65" i="1"/>
  <c r="AR65" i="1" s="1"/>
  <c r="AS65" i="1" s="1"/>
  <c r="AN65" i="1"/>
  <c r="AM65" i="1"/>
  <c r="AL65" i="1"/>
  <c r="AO65" i="1" s="1"/>
  <c r="AK65" i="1"/>
  <c r="AJ65" i="1"/>
  <c r="AI65" i="1"/>
  <c r="AH65" i="1"/>
  <c r="AG65" i="1"/>
  <c r="AF65" i="1"/>
  <c r="AE65" i="1"/>
  <c r="AD65" i="1"/>
  <c r="AC65" i="1"/>
  <c r="AB65" i="1"/>
  <c r="AW65" i="1" s="1"/>
  <c r="AA65" i="1"/>
  <c r="Z65" i="1"/>
  <c r="AW64" i="1"/>
  <c r="AV64" i="1"/>
  <c r="AS64" i="1"/>
  <c r="AQ64" i="1"/>
  <c r="AP64" i="1"/>
  <c r="AR64" i="1" s="1"/>
  <c r="AN64" i="1"/>
  <c r="AM64" i="1"/>
  <c r="AL64" i="1"/>
  <c r="AK64" i="1"/>
  <c r="AJ64" i="1"/>
  <c r="AI64" i="1"/>
  <c r="AH64" i="1"/>
  <c r="AO64" i="1" s="1"/>
  <c r="AG64" i="1"/>
  <c r="AF64" i="1"/>
  <c r="AE64" i="1"/>
  <c r="AD64" i="1"/>
  <c r="AC64" i="1"/>
  <c r="AB64" i="1"/>
  <c r="Z64" i="1"/>
  <c r="AA64" i="1" s="1"/>
  <c r="AW63" i="1"/>
  <c r="AV63" i="1"/>
  <c r="AS63" i="1"/>
  <c r="AQ63" i="1"/>
  <c r="AR63" i="1" s="1"/>
  <c r="AP63" i="1"/>
  <c r="AN63" i="1"/>
  <c r="AM63" i="1"/>
  <c r="AL63" i="1"/>
  <c r="AK63" i="1"/>
  <c r="AJ63" i="1"/>
  <c r="AI63" i="1"/>
  <c r="AH63" i="1"/>
  <c r="AG63" i="1"/>
  <c r="AF63" i="1"/>
  <c r="AE63" i="1"/>
  <c r="AD63" i="1"/>
  <c r="AO63" i="1" s="1"/>
  <c r="AC63" i="1"/>
  <c r="AB63" i="1"/>
  <c r="Z63" i="1"/>
  <c r="AA63" i="1" s="1"/>
  <c r="AQ62" i="1"/>
  <c r="AR62" i="1" s="1"/>
  <c r="AP62" i="1"/>
  <c r="AN62" i="1"/>
  <c r="AM62" i="1"/>
  <c r="AL62" i="1"/>
  <c r="AK62" i="1"/>
  <c r="AJ62" i="1"/>
  <c r="AI62" i="1"/>
  <c r="AH62" i="1"/>
  <c r="AG62" i="1"/>
  <c r="AF62" i="1"/>
  <c r="AE62" i="1"/>
  <c r="AD62" i="1"/>
  <c r="AC62" i="1"/>
  <c r="AO62" i="1" s="1"/>
  <c r="AB62" i="1"/>
  <c r="Z62" i="1"/>
  <c r="AA62" i="1" s="1"/>
  <c r="AQ61" i="1"/>
  <c r="AP61" i="1"/>
  <c r="AR61" i="1" s="1"/>
  <c r="AN61" i="1"/>
  <c r="AM61" i="1"/>
  <c r="AL61" i="1"/>
  <c r="AK61" i="1"/>
  <c r="AJ61" i="1"/>
  <c r="AI61" i="1"/>
  <c r="AH61" i="1"/>
  <c r="AG61" i="1"/>
  <c r="AF61" i="1"/>
  <c r="AE61" i="1"/>
  <c r="AD61" i="1"/>
  <c r="AC61" i="1"/>
  <c r="AB61" i="1"/>
  <c r="Z61" i="1"/>
  <c r="AA61" i="1" s="1"/>
  <c r="AQ60" i="1"/>
  <c r="AP60" i="1"/>
  <c r="AR60" i="1" s="1"/>
  <c r="AN60" i="1"/>
  <c r="AM60" i="1"/>
  <c r="AL60" i="1"/>
  <c r="AK60" i="1"/>
  <c r="AJ60" i="1"/>
  <c r="AI60" i="1"/>
  <c r="AH60" i="1"/>
  <c r="AG60" i="1"/>
  <c r="AF60" i="1"/>
  <c r="AE60" i="1"/>
  <c r="AD60" i="1"/>
  <c r="AC60" i="1"/>
  <c r="AB60" i="1"/>
  <c r="AS60" i="1" s="1"/>
  <c r="AA60" i="1"/>
  <c r="Z60" i="1"/>
  <c r="AQ59" i="1"/>
  <c r="AP59" i="1"/>
  <c r="AR59" i="1" s="1"/>
  <c r="AS59" i="1" s="1"/>
  <c r="AN59" i="1"/>
  <c r="AM59" i="1"/>
  <c r="AL59" i="1"/>
  <c r="AK59" i="1"/>
  <c r="AJ59" i="1"/>
  <c r="AI59" i="1"/>
  <c r="AH59" i="1"/>
  <c r="AG59" i="1"/>
  <c r="AF59" i="1"/>
  <c r="AE59" i="1"/>
  <c r="AD59" i="1"/>
  <c r="AC59" i="1"/>
  <c r="AB59" i="1"/>
  <c r="AA59" i="1"/>
  <c r="Z59" i="1"/>
  <c r="AQ58" i="1"/>
  <c r="AP58" i="1"/>
  <c r="AR58" i="1" s="1"/>
  <c r="AS58" i="1" s="1"/>
  <c r="AN58" i="1"/>
  <c r="AM58" i="1"/>
  <c r="AL58" i="1"/>
  <c r="AO58" i="1" s="1"/>
  <c r="AK58" i="1"/>
  <c r="AJ58" i="1"/>
  <c r="AI58" i="1"/>
  <c r="AH58" i="1"/>
  <c r="AG58" i="1"/>
  <c r="AF58" i="1"/>
  <c r="AE58" i="1"/>
  <c r="AD58" i="1"/>
  <c r="AC58" i="1"/>
  <c r="AB58" i="1"/>
  <c r="AW58" i="1" s="1"/>
  <c r="AA58" i="1"/>
  <c r="Z58" i="1"/>
  <c r="AQ57" i="1"/>
  <c r="AP57" i="1"/>
  <c r="AR57" i="1" s="1"/>
  <c r="AS57" i="1" s="1"/>
  <c r="AN57" i="1"/>
  <c r="AM57" i="1"/>
  <c r="AL57" i="1"/>
  <c r="AK57" i="1"/>
  <c r="AJ57" i="1"/>
  <c r="AI57" i="1"/>
  <c r="AH57" i="1"/>
  <c r="AO57" i="1" s="1"/>
  <c r="AG57" i="1"/>
  <c r="AF57" i="1"/>
  <c r="AE57" i="1"/>
  <c r="AD57" i="1"/>
  <c r="AC57" i="1"/>
  <c r="AB57" i="1"/>
  <c r="Z57" i="1"/>
  <c r="AA57" i="1" s="1"/>
  <c r="AQ56" i="1"/>
  <c r="AR56" i="1" s="1"/>
  <c r="AS56" i="1" s="1"/>
  <c r="AP56" i="1"/>
  <c r="AN56" i="1"/>
  <c r="AM56" i="1"/>
  <c r="AL56" i="1"/>
  <c r="AK56" i="1"/>
  <c r="AJ56" i="1"/>
  <c r="AI56" i="1"/>
  <c r="AH56" i="1"/>
  <c r="AG56" i="1"/>
  <c r="AF56" i="1"/>
  <c r="AE56" i="1"/>
  <c r="AD56" i="1"/>
  <c r="AO56" i="1" s="1"/>
  <c r="AC56" i="1"/>
  <c r="AB56" i="1"/>
  <c r="Z56" i="1"/>
  <c r="AA56" i="1" s="1"/>
  <c r="AQ55" i="1"/>
  <c r="AR55" i="1" s="1"/>
  <c r="AP55" i="1"/>
  <c r="AN55" i="1"/>
  <c r="AM55" i="1"/>
  <c r="AL55" i="1"/>
  <c r="AK55" i="1"/>
  <c r="AJ55" i="1"/>
  <c r="AI55" i="1"/>
  <c r="AH55" i="1"/>
  <c r="AG55" i="1"/>
  <c r="AF55" i="1"/>
  <c r="AE55" i="1"/>
  <c r="AD55" i="1"/>
  <c r="AC55" i="1"/>
  <c r="AO55" i="1" s="1"/>
  <c r="AB55" i="1"/>
  <c r="Z55" i="1"/>
  <c r="AA55" i="1" s="1"/>
  <c r="AQ54" i="1"/>
  <c r="AP54" i="1"/>
  <c r="AR54" i="1" s="1"/>
  <c r="AN54" i="1"/>
  <c r="AM54" i="1"/>
  <c r="AL54" i="1"/>
  <c r="AK54" i="1"/>
  <c r="AJ54" i="1"/>
  <c r="AI54" i="1"/>
  <c r="AH54" i="1"/>
  <c r="AG54" i="1"/>
  <c r="AF54" i="1"/>
  <c r="AE54" i="1"/>
  <c r="AD54" i="1"/>
  <c r="AC54" i="1"/>
  <c r="AB54" i="1"/>
  <c r="Z54" i="1"/>
  <c r="AA54" i="1" s="1"/>
  <c r="AQ53" i="1"/>
  <c r="AP53" i="1"/>
  <c r="AR53" i="1" s="1"/>
  <c r="AN53" i="1"/>
  <c r="AM53" i="1"/>
  <c r="AL53" i="1"/>
  <c r="AK53" i="1"/>
  <c r="AJ53" i="1"/>
  <c r="AI53" i="1"/>
  <c r="AH53" i="1"/>
  <c r="AG53" i="1"/>
  <c r="AF53" i="1"/>
  <c r="AE53" i="1"/>
  <c r="AD53" i="1"/>
  <c r="AC53" i="1"/>
  <c r="AB53" i="1"/>
  <c r="AS53" i="1" s="1"/>
  <c r="AA53" i="1"/>
  <c r="Z53" i="1"/>
  <c r="AQ52" i="1"/>
  <c r="AP52" i="1"/>
  <c r="AR52" i="1" s="1"/>
  <c r="AS52" i="1" s="1"/>
  <c r="AN52" i="1"/>
  <c r="AM52" i="1"/>
  <c r="AL52" i="1"/>
  <c r="AK52" i="1"/>
  <c r="AJ52" i="1"/>
  <c r="AI52" i="1"/>
  <c r="AH52" i="1"/>
  <c r="AG52" i="1"/>
  <c r="AF52" i="1"/>
  <c r="AE52" i="1"/>
  <c r="AD52" i="1"/>
  <c r="AC52" i="1"/>
  <c r="AB52" i="1"/>
  <c r="AA52" i="1"/>
  <c r="Z52" i="1"/>
  <c r="AQ51" i="1"/>
  <c r="AP51" i="1"/>
  <c r="AR51" i="1" s="1"/>
  <c r="AS51" i="1" s="1"/>
  <c r="AN51" i="1"/>
  <c r="AM51" i="1"/>
  <c r="AL51" i="1"/>
  <c r="AO51" i="1" s="1"/>
  <c r="AK51" i="1"/>
  <c r="AJ51" i="1"/>
  <c r="AI51" i="1"/>
  <c r="AH51" i="1"/>
  <c r="AG51" i="1"/>
  <c r="AF51" i="1"/>
  <c r="AE51" i="1"/>
  <c r="AD51" i="1"/>
  <c r="AC51" i="1"/>
  <c r="AB51" i="1"/>
  <c r="AA51" i="1"/>
  <c r="Z51" i="1"/>
  <c r="AQ50" i="1"/>
  <c r="AP50" i="1"/>
  <c r="AR50" i="1" s="1"/>
  <c r="AS50" i="1" s="1"/>
  <c r="AN50" i="1"/>
  <c r="AM50" i="1"/>
  <c r="AL50" i="1"/>
  <c r="AK50" i="1"/>
  <c r="AJ50" i="1"/>
  <c r="AI50" i="1"/>
  <c r="AH50" i="1"/>
  <c r="AO50" i="1" s="1"/>
  <c r="AG50" i="1"/>
  <c r="AF50" i="1"/>
  <c r="AE50" i="1"/>
  <c r="AD50" i="1"/>
  <c r="AC50" i="1"/>
  <c r="AB50" i="1"/>
  <c r="Z50" i="1"/>
  <c r="AA50" i="1" s="1"/>
  <c r="AQ49" i="1"/>
  <c r="AR49" i="1" s="1"/>
  <c r="AS49" i="1" s="1"/>
  <c r="AP49" i="1"/>
  <c r="AN49" i="1"/>
  <c r="AM49" i="1"/>
  <c r="AL49" i="1"/>
  <c r="AK49" i="1"/>
  <c r="AJ49" i="1"/>
  <c r="AI49" i="1"/>
  <c r="AH49" i="1"/>
  <c r="AG49" i="1"/>
  <c r="AF49" i="1"/>
  <c r="AE49" i="1"/>
  <c r="AD49" i="1"/>
  <c r="AO49" i="1" s="1"/>
  <c r="AC49" i="1"/>
  <c r="AB49" i="1"/>
  <c r="Z49" i="1"/>
  <c r="AA49" i="1" s="1"/>
  <c r="AQ48" i="1"/>
  <c r="AR48" i="1" s="1"/>
  <c r="AP48" i="1"/>
  <c r="AB48" i="1"/>
  <c r="AT48" i="1" s="1"/>
  <c r="Z48" i="1"/>
  <c r="AA48" i="1" s="1"/>
  <c r="AV47" i="1"/>
  <c r="AS47" i="1"/>
  <c r="AQ47" i="1"/>
  <c r="AP47" i="1"/>
  <c r="AR47" i="1" s="1"/>
  <c r="AN47" i="1"/>
  <c r="AM47" i="1"/>
  <c r="AL47" i="1"/>
  <c r="AK47" i="1"/>
  <c r="AO47" i="1" s="1"/>
  <c r="AJ47" i="1"/>
  <c r="AI47" i="1"/>
  <c r="AH47" i="1"/>
  <c r="AG47" i="1"/>
  <c r="AF47" i="1"/>
  <c r="AE47" i="1"/>
  <c r="AD47" i="1"/>
  <c r="AC47" i="1"/>
  <c r="AB47" i="1"/>
  <c r="AW47" i="1" s="1"/>
  <c r="Z47" i="1"/>
  <c r="AA47" i="1" s="1"/>
  <c r="AW46" i="1"/>
  <c r="AV46" i="1"/>
  <c r="AQ46" i="1"/>
  <c r="AP46" i="1"/>
  <c r="AR46" i="1" s="1"/>
  <c r="AN46" i="1"/>
  <c r="AM46" i="1"/>
  <c r="AL46" i="1"/>
  <c r="AK46" i="1"/>
  <c r="AJ46" i="1"/>
  <c r="AI46" i="1"/>
  <c r="AH46" i="1"/>
  <c r="AG46" i="1"/>
  <c r="AF46" i="1"/>
  <c r="AE46" i="1"/>
  <c r="AD46" i="1"/>
  <c r="AC46" i="1"/>
  <c r="AB46" i="1"/>
  <c r="AS46" i="1" s="1"/>
  <c r="Z46" i="1"/>
  <c r="AA46" i="1" s="1"/>
  <c r="AQ45" i="1"/>
  <c r="AP45" i="1"/>
  <c r="AR45" i="1" s="1"/>
  <c r="AN45" i="1"/>
  <c r="AM45" i="1"/>
  <c r="AL45" i="1"/>
  <c r="AK45" i="1"/>
  <c r="AJ45" i="1"/>
  <c r="AI45" i="1"/>
  <c r="AH45" i="1"/>
  <c r="AG45" i="1"/>
  <c r="AF45" i="1"/>
  <c r="AE45" i="1"/>
  <c r="AD45" i="1"/>
  <c r="AC45" i="1"/>
  <c r="AB45" i="1"/>
  <c r="Z45" i="1"/>
  <c r="AA45" i="1" s="1"/>
  <c r="AQ44" i="1"/>
  <c r="AP44" i="1"/>
  <c r="AR44" i="1" s="1"/>
  <c r="AN44" i="1"/>
  <c r="AM44" i="1"/>
  <c r="AL44" i="1"/>
  <c r="AK44" i="1"/>
  <c r="AJ44" i="1"/>
  <c r="AI44" i="1"/>
  <c r="AH44" i="1"/>
  <c r="AG44" i="1"/>
  <c r="AF44" i="1"/>
  <c r="AE44" i="1"/>
  <c r="AD44" i="1"/>
  <c r="AC44" i="1"/>
  <c r="AB44" i="1"/>
  <c r="AS44" i="1" s="1"/>
  <c r="Z44" i="1"/>
  <c r="AA44" i="1" s="1"/>
  <c r="AR43" i="1"/>
  <c r="AQ43" i="1"/>
  <c r="AP43" i="1"/>
  <c r="AN43" i="1"/>
  <c r="AM43" i="1"/>
  <c r="AL43" i="1"/>
  <c r="AK43" i="1"/>
  <c r="AJ43" i="1"/>
  <c r="AI43" i="1"/>
  <c r="AH43" i="1"/>
  <c r="AG43" i="1"/>
  <c r="AF43" i="1"/>
  <c r="AE43" i="1"/>
  <c r="AD43" i="1"/>
  <c r="AC43" i="1"/>
  <c r="AO43" i="1" s="1"/>
  <c r="AB43" i="1"/>
  <c r="Z43" i="1"/>
  <c r="AA43" i="1" s="1"/>
  <c r="AS42" i="1"/>
  <c r="AU42" i="1" s="1"/>
  <c r="AR42" i="1"/>
  <c r="AQ42" i="1"/>
  <c r="AP42" i="1"/>
  <c r="AN42" i="1"/>
  <c r="AM42" i="1"/>
  <c r="AL42" i="1"/>
  <c r="AK42" i="1"/>
  <c r="AJ42" i="1"/>
  <c r="AI42" i="1"/>
  <c r="AH42" i="1"/>
  <c r="AG42" i="1"/>
  <c r="AF42" i="1"/>
  <c r="AE42" i="1"/>
  <c r="AD42" i="1"/>
  <c r="AO42" i="1" s="1"/>
  <c r="AC42" i="1"/>
  <c r="AB42" i="1"/>
  <c r="Z42" i="1"/>
  <c r="AA42" i="1" s="1"/>
  <c r="AQ41" i="1"/>
  <c r="AP41" i="1"/>
  <c r="AR41" i="1" s="1"/>
  <c r="AS41" i="1" s="1"/>
  <c r="AO41" i="1"/>
  <c r="AN41" i="1"/>
  <c r="AM41" i="1"/>
  <c r="AL41" i="1"/>
  <c r="AK41" i="1"/>
  <c r="AJ41" i="1"/>
  <c r="AI41" i="1"/>
  <c r="AH41" i="1"/>
  <c r="AG41" i="1"/>
  <c r="AF41" i="1"/>
  <c r="AE41" i="1"/>
  <c r="AD41" i="1"/>
  <c r="AC41" i="1"/>
  <c r="AB41" i="1"/>
  <c r="Z41" i="1"/>
  <c r="AA41" i="1" s="1"/>
  <c r="AQ40" i="1"/>
  <c r="AP40" i="1"/>
  <c r="AR40" i="1" s="1"/>
  <c r="AB40" i="1"/>
  <c r="AW40" i="1" s="1"/>
  <c r="Z40" i="1"/>
  <c r="AA40" i="1" s="1"/>
  <c r="AW39" i="1"/>
  <c r="AV39" i="1"/>
  <c r="AQ39" i="1"/>
  <c r="AR39" i="1" s="1"/>
  <c r="AP39" i="1"/>
  <c r="AN39" i="1"/>
  <c r="AM39" i="1"/>
  <c r="AL39" i="1"/>
  <c r="AK39" i="1"/>
  <c r="AJ39" i="1"/>
  <c r="AI39" i="1"/>
  <c r="AH39" i="1"/>
  <c r="AG39" i="1"/>
  <c r="AF39" i="1"/>
  <c r="AE39" i="1"/>
  <c r="AD39" i="1"/>
  <c r="AC39" i="1"/>
  <c r="AO39" i="1" s="1"/>
  <c r="AB39" i="1"/>
  <c r="Z39" i="1"/>
  <c r="AA39" i="1" s="1"/>
  <c r="AW38" i="1"/>
  <c r="AV38" i="1"/>
  <c r="AS38" i="1"/>
  <c r="AR38" i="1"/>
  <c r="AT38" i="1" s="1"/>
  <c r="AQ38" i="1"/>
  <c r="AP38" i="1"/>
  <c r="AN38" i="1"/>
  <c r="AM38" i="1"/>
  <c r="AL38" i="1"/>
  <c r="AK38" i="1"/>
  <c r="AJ38" i="1"/>
  <c r="AI38" i="1"/>
  <c r="AH38" i="1"/>
  <c r="AG38" i="1"/>
  <c r="AF38" i="1"/>
  <c r="AE38" i="1"/>
  <c r="AD38" i="1"/>
  <c r="AC38" i="1"/>
  <c r="AO38" i="1" s="1"/>
  <c r="AB38" i="1"/>
  <c r="Z38" i="1"/>
  <c r="AA38" i="1" s="1"/>
  <c r="AQ37" i="1"/>
  <c r="AP37" i="1"/>
  <c r="AR37" i="1" s="1"/>
  <c r="AS37" i="1" s="1"/>
  <c r="AN37" i="1"/>
  <c r="AO37" i="1" s="1"/>
  <c r="AM37" i="1"/>
  <c r="AL37" i="1"/>
  <c r="AK37" i="1"/>
  <c r="AJ37" i="1"/>
  <c r="AI37" i="1"/>
  <c r="AH37" i="1"/>
  <c r="AG37" i="1"/>
  <c r="AF37" i="1"/>
  <c r="AE37" i="1"/>
  <c r="AD37" i="1"/>
  <c r="AC37" i="1"/>
  <c r="AB37" i="1"/>
  <c r="Z37" i="1"/>
  <c r="AA37" i="1" s="1"/>
  <c r="AQ36" i="1"/>
  <c r="AP36" i="1"/>
  <c r="AR36" i="1" s="1"/>
  <c r="AS36" i="1" s="1"/>
  <c r="AW36" i="1" s="1"/>
  <c r="AN36" i="1"/>
  <c r="AM36" i="1"/>
  <c r="AL36" i="1"/>
  <c r="AK36" i="1"/>
  <c r="AJ36" i="1"/>
  <c r="AO36" i="1" s="1"/>
  <c r="AI36" i="1"/>
  <c r="AH36" i="1"/>
  <c r="AG36" i="1"/>
  <c r="AF36" i="1"/>
  <c r="AE36" i="1"/>
  <c r="AD36" i="1"/>
  <c r="AC36" i="1"/>
  <c r="AB36" i="1"/>
  <c r="Z36" i="1"/>
  <c r="AA36" i="1" s="1"/>
  <c r="AQ35" i="1"/>
  <c r="AP35" i="1"/>
  <c r="AR35" i="1" s="1"/>
  <c r="AS35" i="1" s="1"/>
  <c r="AN35" i="1"/>
  <c r="AM35" i="1"/>
  <c r="AL35" i="1"/>
  <c r="AK35" i="1"/>
  <c r="AJ35" i="1"/>
  <c r="AI35" i="1"/>
  <c r="AH35" i="1"/>
  <c r="AG35" i="1"/>
  <c r="AF35" i="1"/>
  <c r="AO35" i="1" s="1"/>
  <c r="AE35" i="1"/>
  <c r="AD35" i="1"/>
  <c r="AC35" i="1"/>
  <c r="AB35" i="1"/>
  <c r="AA35" i="1"/>
  <c r="Z35" i="1"/>
  <c r="AQ34" i="1"/>
  <c r="AP34" i="1"/>
  <c r="AR34" i="1" s="1"/>
  <c r="AN34" i="1"/>
  <c r="AM34" i="1"/>
  <c r="AL34" i="1"/>
  <c r="AK34" i="1"/>
  <c r="AJ34" i="1"/>
  <c r="AI34" i="1"/>
  <c r="AH34" i="1"/>
  <c r="AG34" i="1"/>
  <c r="AF34" i="1"/>
  <c r="AE34" i="1"/>
  <c r="AD34" i="1"/>
  <c r="AC34" i="1"/>
  <c r="AO34" i="1" s="1"/>
  <c r="AB34" i="1"/>
  <c r="AS34" i="1" s="1"/>
  <c r="AA34" i="1"/>
  <c r="Z34" i="1"/>
  <c r="AQ33" i="1"/>
  <c r="AP33" i="1"/>
  <c r="AR33" i="1" s="1"/>
  <c r="AN33" i="1"/>
  <c r="AM33" i="1"/>
  <c r="AL33" i="1"/>
  <c r="AK33" i="1"/>
  <c r="AJ33" i="1"/>
  <c r="AI33" i="1"/>
  <c r="AH33" i="1"/>
  <c r="AG33" i="1"/>
  <c r="AF33" i="1"/>
  <c r="AE33" i="1"/>
  <c r="AD33" i="1"/>
  <c r="AC33" i="1"/>
  <c r="AO33" i="1" s="1"/>
  <c r="AB33" i="1"/>
  <c r="Z33" i="1"/>
  <c r="AA33" i="1" s="1"/>
  <c r="AQ32" i="1"/>
  <c r="AR32" i="1" s="1"/>
  <c r="AP32" i="1"/>
  <c r="AN32" i="1"/>
  <c r="AM32" i="1"/>
  <c r="AL32" i="1"/>
  <c r="AK32" i="1"/>
  <c r="AJ32" i="1"/>
  <c r="AI32" i="1"/>
  <c r="AH32" i="1"/>
  <c r="AG32" i="1"/>
  <c r="AF32" i="1"/>
  <c r="AE32" i="1"/>
  <c r="AD32" i="1"/>
  <c r="AC32" i="1"/>
  <c r="AO32" i="1" s="1"/>
  <c r="AB32" i="1"/>
  <c r="Z32" i="1"/>
  <c r="AA32" i="1" s="1"/>
  <c r="AR31" i="1"/>
  <c r="AS31" i="1" s="1"/>
  <c r="AQ31" i="1"/>
  <c r="AP31" i="1"/>
  <c r="AN31" i="1"/>
  <c r="AM31" i="1"/>
  <c r="AL31" i="1"/>
  <c r="AK31" i="1"/>
  <c r="AJ31" i="1"/>
  <c r="AI31" i="1"/>
  <c r="AH31" i="1"/>
  <c r="AG31" i="1"/>
  <c r="AF31" i="1"/>
  <c r="AE31" i="1"/>
  <c r="AD31" i="1"/>
  <c r="AC31" i="1"/>
  <c r="AO31" i="1" s="1"/>
  <c r="AB31" i="1"/>
  <c r="Z31" i="1"/>
  <c r="AA31" i="1" s="1"/>
  <c r="AQ30" i="1"/>
  <c r="AP30" i="1"/>
  <c r="AR30" i="1" s="1"/>
  <c r="AS30" i="1" s="1"/>
  <c r="AN30" i="1"/>
  <c r="AO30" i="1" s="1"/>
  <c r="AM30" i="1"/>
  <c r="AL30" i="1"/>
  <c r="AK30" i="1"/>
  <c r="AJ30" i="1"/>
  <c r="AI30" i="1"/>
  <c r="AH30" i="1"/>
  <c r="AG30" i="1"/>
  <c r="AF30" i="1"/>
  <c r="AE30" i="1"/>
  <c r="AD30" i="1"/>
  <c r="AC30" i="1"/>
  <c r="AB30" i="1"/>
  <c r="Z30" i="1"/>
  <c r="AA30" i="1" s="1"/>
  <c r="AQ29" i="1"/>
  <c r="AP29" i="1"/>
  <c r="AR29" i="1" s="1"/>
  <c r="AS29" i="1" s="1"/>
  <c r="AW29" i="1" s="1"/>
  <c r="AN29" i="1"/>
  <c r="AM29" i="1"/>
  <c r="AL29" i="1"/>
  <c r="AK29" i="1"/>
  <c r="AJ29" i="1"/>
  <c r="AO29" i="1" s="1"/>
  <c r="AI29" i="1"/>
  <c r="AH29" i="1"/>
  <c r="AG29" i="1"/>
  <c r="AF29" i="1"/>
  <c r="AE29" i="1"/>
  <c r="AD29" i="1"/>
  <c r="AC29" i="1"/>
  <c r="AB29" i="1"/>
  <c r="Z29" i="1"/>
  <c r="AA29" i="1" s="1"/>
  <c r="AQ28" i="1"/>
  <c r="AP28" i="1"/>
  <c r="AR28" i="1" s="1"/>
  <c r="AS28" i="1" s="1"/>
  <c r="AN28" i="1"/>
  <c r="AM28" i="1"/>
  <c r="AL28" i="1"/>
  <c r="AK28" i="1"/>
  <c r="AJ28" i="1"/>
  <c r="AI28" i="1"/>
  <c r="AH28" i="1"/>
  <c r="AG28" i="1"/>
  <c r="AF28" i="1"/>
  <c r="AO28" i="1" s="1"/>
  <c r="AE28" i="1"/>
  <c r="AD28" i="1"/>
  <c r="AC28" i="1"/>
  <c r="AB28" i="1"/>
  <c r="AA28" i="1"/>
  <c r="Z28" i="1"/>
  <c r="AQ27" i="1"/>
  <c r="AP27" i="1"/>
  <c r="AR27" i="1" s="1"/>
  <c r="AN27" i="1"/>
  <c r="AM27" i="1"/>
  <c r="AL27" i="1"/>
  <c r="AK27" i="1"/>
  <c r="AJ27" i="1"/>
  <c r="AI27" i="1"/>
  <c r="AH27" i="1"/>
  <c r="AG27" i="1"/>
  <c r="AF27" i="1"/>
  <c r="AE27" i="1"/>
  <c r="AD27" i="1"/>
  <c r="AC27" i="1"/>
  <c r="AO27" i="1" s="1"/>
  <c r="AB27" i="1"/>
  <c r="AA27" i="1"/>
  <c r="Z27" i="1"/>
  <c r="AQ26" i="1"/>
  <c r="AP26" i="1"/>
  <c r="AR26" i="1" s="1"/>
  <c r="AN26" i="1"/>
  <c r="AM26" i="1"/>
  <c r="AL26" i="1"/>
  <c r="AK26" i="1"/>
  <c r="AJ26" i="1"/>
  <c r="AI26" i="1"/>
  <c r="AH26" i="1"/>
  <c r="AG26" i="1"/>
  <c r="AF26" i="1"/>
  <c r="AE26" i="1"/>
  <c r="AD26" i="1"/>
  <c r="AC26" i="1"/>
  <c r="AO26" i="1" s="1"/>
  <c r="AB26" i="1"/>
  <c r="Z26" i="1"/>
  <c r="AA26" i="1" s="1"/>
  <c r="AQ25" i="1"/>
  <c r="AR25" i="1" s="1"/>
  <c r="AP25" i="1"/>
  <c r="AN25" i="1"/>
  <c r="AM25" i="1"/>
  <c r="AL25" i="1"/>
  <c r="AK25" i="1"/>
  <c r="AJ25" i="1"/>
  <c r="AI25" i="1"/>
  <c r="AH25" i="1"/>
  <c r="AG25" i="1"/>
  <c r="AF25" i="1"/>
  <c r="AE25" i="1"/>
  <c r="AD25" i="1"/>
  <c r="AC25" i="1"/>
  <c r="AO25" i="1" s="1"/>
  <c r="AB25" i="1"/>
  <c r="Z25" i="1"/>
  <c r="AA25" i="1" s="1"/>
  <c r="AR24" i="1"/>
  <c r="AS24" i="1" s="1"/>
  <c r="AQ24" i="1"/>
  <c r="AP24" i="1"/>
  <c r="AN24" i="1"/>
  <c r="AM24" i="1"/>
  <c r="AL24" i="1"/>
  <c r="AK24" i="1"/>
  <c r="AJ24" i="1"/>
  <c r="AI24" i="1"/>
  <c r="AH24" i="1"/>
  <c r="AG24" i="1"/>
  <c r="AF24" i="1"/>
  <c r="AE24" i="1"/>
  <c r="AD24" i="1"/>
  <c r="AC24" i="1"/>
  <c r="AO24" i="1" s="1"/>
  <c r="AB24" i="1"/>
  <c r="Z24" i="1"/>
  <c r="AA24" i="1" s="1"/>
  <c r="AQ23" i="1"/>
  <c r="AP23" i="1"/>
  <c r="AR23" i="1" s="1"/>
  <c r="AB23" i="1"/>
  <c r="AS23" i="1" s="1"/>
  <c r="AA23" i="1"/>
  <c r="Z23" i="1"/>
  <c r="AQ22" i="1"/>
  <c r="AP22" i="1"/>
  <c r="AR22" i="1" s="1"/>
  <c r="AN22" i="1"/>
  <c r="AM22" i="1"/>
  <c r="AL22" i="1"/>
  <c r="AK22" i="1"/>
  <c r="AJ22" i="1"/>
  <c r="AI22" i="1"/>
  <c r="AH22" i="1"/>
  <c r="AG22" i="1"/>
  <c r="AF22" i="1"/>
  <c r="AE22" i="1"/>
  <c r="AD22" i="1"/>
  <c r="AC22" i="1"/>
  <c r="AO22" i="1" s="1"/>
  <c r="AB22" i="1"/>
  <c r="AW22" i="1" s="1"/>
  <c r="Z22" i="1"/>
  <c r="AA22" i="1" s="1"/>
  <c r="AW21" i="1"/>
  <c r="AV21" i="1"/>
  <c r="AQ21" i="1"/>
  <c r="AP21" i="1"/>
  <c r="AR21" i="1" s="1"/>
  <c r="AU21" i="1" s="1"/>
  <c r="AN21" i="1"/>
  <c r="AM21" i="1"/>
  <c r="AL21" i="1"/>
  <c r="AK21" i="1"/>
  <c r="AJ21" i="1"/>
  <c r="AI21" i="1"/>
  <c r="AH21" i="1"/>
  <c r="AG21" i="1"/>
  <c r="AF21" i="1"/>
  <c r="AE21" i="1"/>
  <c r="AD21" i="1"/>
  <c r="AC21" i="1"/>
  <c r="AB21" i="1"/>
  <c r="AS21" i="1" s="1"/>
  <c r="Z21" i="1"/>
  <c r="AA21" i="1" s="1"/>
  <c r="AQ20" i="1"/>
  <c r="AR20" i="1" s="1"/>
  <c r="AS20" i="1" s="1"/>
  <c r="AP20" i="1"/>
  <c r="AO20" i="1" s="1"/>
  <c r="AN20" i="1"/>
  <c r="AM20" i="1"/>
  <c r="AL20" i="1"/>
  <c r="AK20" i="1"/>
  <c r="AJ20" i="1"/>
  <c r="AI20" i="1"/>
  <c r="AH20" i="1"/>
  <c r="AG20" i="1"/>
  <c r="AF20" i="1"/>
  <c r="AE20" i="1"/>
  <c r="AD20" i="1"/>
  <c r="AC20" i="1"/>
  <c r="AB20" i="1"/>
  <c r="Z20" i="1"/>
  <c r="AA20" i="1" s="1"/>
  <c r="AQ19" i="1"/>
  <c r="AP19" i="1"/>
  <c r="AR19" i="1" s="1"/>
  <c r="AS19" i="1" s="1"/>
  <c r="AN19" i="1"/>
  <c r="AM19" i="1"/>
  <c r="AO19" i="1" s="1"/>
  <c r="AL19" i="1"/>
  <c r="AK19" i="1"/>
  <c r="AJ19" i="1"/>
  <c r="AI19" i="1"/>
  <c r="AH19" i="1"/>
  <c r="AG19" i="1"/>
  <c r="AF19" i="1"/>
  <c r="AE19" i="1"/>
  <c r="AD19" i="1"/>
  <c r="AC19" i="1"/>
  <c r="AB19" i="1"/>
  <c r="Z19" i="1"/>
  <c r="AA19" i="1" s="1"/>
  <c r="AQ18" i="1"/>
  <c r="AP18" i="1"/>
  <c r="AR18" i="1" s="1"/>
  <c r="AS18" i="1" s="1"/>
  <c r="AN18" i="1"/>
  <c r="AM18" i="1"/>
  <c r="AL18" i="1"/>
  <c r="AK18" i="1"/>
  <c r="AJ18" i="1"/>
  <c r="AI18" i="1"/>
  <c r="AO18" i="1" s="1"/>
  <c r="AH18" i="1"/>
  <c r="AG18" i="1"/>
  <c r="AF18" i="1"/>
  <c r="AE18" i="1"/>
  <c r="AD18" i="1"/>
  <c r="AC18" i="1"/>
  <c r="AB18" i="1"/>
  <c r="AU18" i="1" s="1"/>
  <c r="Z18" i="1"/>
  <c r="AA18" i="1" s="1"/>
  <c r="AR17" i="1"/>
  <c r="AS17" i="1" s="1"/>
  <c r="AQ17" i="1"/>
  <c r="AP17" i="1"/>
  <c r="AN17" i="1"/>
  <c r="AM17" i="1"/>
  <c r="AL17" i="1"/>
  <c r="AK17" i="1"/>
  <c r="AJ17" i="1"/>
  <c r="AI17" i="1"/>
  <c r="AH17" i="1"/>
  <c r="AG17" i="1"/>
  <c r="AF17" i="1"/>
  <c r="AE17" i="1"/>
  <c r="AO17" i="1" s="1"/>
  <c r="AD17" i="1"/>
  <c r="AC17" i="1"/>
  <c r="AB17" i="1"/>
  <c r="Z17" i="1"/>
  <c r="AA17" i="1" s="1"/>
  <c r="AQ16" i="1"/>
  <c r="AP16" i="1"/>
  <c r="AR16" i="1" s="1"/>
  <c r="AN16" i="1"/>
  <c r="AM16" i="1"/>
  <c r="AL16" i="1"/>
  <c r="AK16" i="1"/>
  <c r="AJ16" i="1"/>
  <c r="AI16" i="1"/>
  <c r="AH16" i="1"/>
  <c r="AG16" i="1"/>
  <c r="AF16" i="1"/>
  <c r="AE16" i="1"/>
  <c r="AD16" i="1"/>
  <c r="AC16" i="1"/>
  <c r="AO16" i="1" s="1"/>
  <c r="AB16" i="1"/>
  <c r="AA16" i="1"/>
  <c r="Z16" i="1"/>
  <c r="AQ15" i="1"/>
  <c r="AP15" i="1"/>
  <c r="AR15" i="1" s="1"/>
  <c r="AN15" i="1"/>
  <c r="AM15" i="1"/>
  <c r="AL15" i="1"/>
  <c r="AK15" i="1"/>
  <c r="AJ15" i="1"/>
  <c r="AI15" i="1"/>
  <c r="AH15" i="1"/>
  <c r="AG15" i="1"/>
  <c r="AF15" i="1"/>
  <c r="AE15" i="1"/>
  <c r="AD15" i="1"/>
  <c r="AC15" i="1"/>
  <c r="AO15" i="1" s="1"/>
  <c r="AB15" i="1"/>
  <c r="AW15" i="1" s="1"/>
  <c r="Z15" i="1"/>
  <c r="AA15" i="1" s="1"/>
  <c r="AW14" i="1"/>
  <c r="AV14" i="1"/>
  <c r="AQ14" i="1"/>
  <c r="AP14" i="1"/>
  <c r="AR14" i="1" s="1"/>
  <c r="AU14" i="1" s="1"/>
  <c r="AN14" i="1"/>
  <c r="AM14" i="1"/>
  <c r="AL14" i="1"/>
  <c r="AK14" i="1"/>
  <c r="AJ14" i="1"/>
  <c r="AI14" i="1"/>
  <c r="AH14" i="1"/>
  <c r="AG14" i="1"/>
  <c r="AF14" i="1"/>
  <c r="AE14" i="1"/>
  <c r="AD14" i="1"/>
  <c r="AC14" i="1"/>
  <c r="AB14" i="1"/>
  <c r="AS14" i="1" s="1"/>
  <c r="Z14" i="1"/>
  <c r="AA14" i="1" s="1"/>
  <c r="AQ13" i="1"/>
  <c r="AR13" i="1" s="1"/>
  <c r="AS13" i="1" s="1"/>
  <c r="AP13" i="1"/>
  <c r="AO13" i="1" s="1"/>
  <c r="AN13" i="1"/>
  <c r="AM13" i="1"/>
  <c r="AL13" i="1"/>
  <c r="AK13" i="1"/>
  <c r="AJ13" i="1"/>
  <c r="AI13" i="1"/>
  <c r="AH13" i="1"/>
  <c r="AG13" i="1"/>
  <c r="AF13" i="1"/>
  <c r="AE13" i="1"/>
  <c r="AD13" i="1"/>
  <c r="AC13" i="1"/>
  <c r="AB13" i="1"/>
  <c r="Z13" i="1"/>
  <c r="AA13" i="1" s="1"/>
  <c r="AQ12" i="1"/>
  <c r="AP12" i="1"/>
  <c r="AR12" i="1" s="1"/>
  <c r="AS12" i="1" s="1"/>
  <c r="AN12" i="1"/>
  <c r="AM12" i="1"/>
  <c r="AO12" i="1" s="1"/>
  <c r="AL12" i="1"/>
  <c r="AK12" i="1"/>
  <c r="AJ12" i="1"/>
  <c r="AI12" i="1"/>
  <c r="AH12" i="1"/>
  <c r="AG12" i="1"/>
  <c r="AF12" i="1"/>
  <c r="AE12" i="1"/>
  <c r="AD12" i="1"/>
  <c r="AC12" i="1"/>
  <c r="AB12" i="1"/>
  <c r="Z12" i="1"/>
  <c r="AA12" i="1" s="1"/>
  <c r="AQ11" i="1"/>
  <c r="AP11" i="1"/>
  <c r="AR11" i="1" s="1"/>
  <c r="AS11" i="1" s="1"/>
  <c r="AN11" i="1"/>
  <c r="AM11" i="1"/>
  <c r="AL11" i="1"/>
  <c r="AK11" i="1"/>
  <c r="AJ11" i="1"/>
  <c r="AI11" i="1"/>
  <c r="AO11" i="1" s="1"/>
  <c r="AH11" i="1"/>
  <c r="AG11" i="1"/>
  <c r="AF11" i="1"/>
  <c r="AE11" i="1"/>
  <c r="AD11" i="1"/>
  <c r="AC11" i="1"/>
  <c r="AB11" i="1"/>
  <c r="AU11" i="1" s="1"/>
  <c r="Z11" i="1"/>
  <c r="AA11" i="1" s="1"/>
  <c r="AR10" i="1"/>
  <c r="AS10" i="1" s="1"/>
  <c r="AQ10" i="1"/>
  <c r="AP10" i="1"/>
  <c r="AN10" i="1"/>
  <c r="AM10" i="1"/>
  <c r="AL10" i="1"/>
  <c r="AK10" i="1"/>
  <c r="AJ10" i="1"/>
  <c r="AI10" i="1"/>
  <c r="AH10" i="1"/>
  <c r="AG10" i="1"/>
  <c r="AF10" i="1"/>
  <c r="AE10" i="1"/>
  <c r="AO10" i="1" s="1"/>
  <c r="AD10" i="1"/>
  <c r="AC10" i="1"/>
  <c r="AB10" i="1"/>
  <c r="Z10" i="1"/>
  <c r="AA10" i="1" s="1"/>
  <c r="AQ9" i="1"/>
  <c r="AP9" i="1"/>
  <c r="AR9" i="1" s="1"/>
  <c r="AN9" i="1"/>
  <c r="AM9" i="1"/>
  <c r="AL9" i="1"/>
  <c r="AK9" i="1"/>
  <c r="AJ9" i="1"/>
  <c r="AI9" i="1"/>
  <c r="AH9" i="1"/>
  <c r="AG9" i="1"/>
  <c r="AF9" i="1"/>
  <c r="AE9" i="1"/>
  <c r="AD9" i="1"/>
  <c r="AC9" i="1"/>
  <c r="AO9" i="1" s="1"/>
  <c r="AB9" i="1"/>
  <c r="AA9" i="1"/>
  <c r="Z9" i="1"/>
  <c r="AQ8" i="1"/>
  <c r="AP8" i="1"/>
  <c r="AR8" i="1" s="1"/>
  <c r="AN8" i="1"/>
  <c r="AM8" i="1"/>
  <c r="AL8" i="1"/>
  <c r="AK8" i="1"/>
  <c r="AJ8" i="1"/>
  <c r="AI8" i="1"/>
  <c r="AH8" i="1"/>
  <c r="AG8" i="1"/>
  <c r="AF8" i="1"/>
  <c r="AE8" i="1"/>
  <c r="AD8" i="1"/>
  <c r="AC8" i="1"/>
  <c r="AO8" i="1" s="1"/>
  <c r="AB8" i="1"/>
  <c r="Z8" i="1"/>
  <c r="AA8" i="1" s="1"/>
  <c r="AQ7" i="1"/>
  <c r="AP7" i="1"/>
  <c r="AR7" i="1" s="1"/>
  <c r="AN7" i="1"/>
  <c r="AM7" i="1"/>
  <c r="AL7" i="1"/>
  <c r="AK7" i="1"/>
  <c r="AJ7" i="1"/>
  <c r="AI7" i="1"/>
  <c r="AH7" i="1"/>
  <c r="AG7" i="1"/>
  <c r="AF7" i="1"/>
  <c r="AE7" i="1"/>
  <c r="AD7" i="1"/>
  <c r="AC7" i="1"/>
  <c r="AB7" i="1"/>
  <c r="Z7" i="1"/>
  <c r="AA7" i="1" s="1"/>
  <c r="AQ6" i="1"/>
  <c r="AR6" i="1" s="1"/>
  <c r="AS6" i="1" s="1"/>
  <c r="AP6" i="1"/>
  <c r="AO6" i="1" s="1"/>
  <c r="AN6" i="1"/>
  <c r="AM6" i="1"/>
  <c r="AL6" i="1"/>
  <c r="AK6" i="1"/>
  <c r="AJ6" i="1"/>
  <c r="AI6" i="1"/>
  <c r="AH6" i="1"/>
  <c r="AG6" i="1"/>
  <c r="AF6" i="1"/>
  <c r="AE6" i="1"/>
  <c r="AD6" i="1"/>
  <c r="AC6" i="1"/>
  <c r="AB6" i="1"/>
  <c r="Z6" i="1"/>
  <c r="AA6" i="1" s="1"/>
  <c r="AU13" i="1" l="1"/>
  <c r="AW13" i="1"/>
  <c r="AV13" i="1"/>
  <c r="AU64" i="1"/>
  <c r="AT64" i="1"/>
  <c r="AU72" i="1"/>
  <c r="AT72" i="1"/>
  <c r="AV49" i="1"/>
  <c r="AU49" i="1"/>
  <c r="AW49" i="1"/>
  <c r="AW12" i="1"/>
  <c r="AV12" i="1"/>
  <c r="AU12" i="1"/>
  <c r="AT12" i="1" s="1"/>
  <c r="AU56" i="1"/>
  <c r="AW56" i="1"/>
  <c r="AV56" i="1"/>
  <c r="AW17" i="1"/>
  <c r="AV17" i="1"/>
  <c r="AU17" i="1"/>
  <c r="AT17" i="1" s="1"/>
  <c r="AV27" i="1"/>
  <c r="AV51" i="1"/>
  <c r="AU51" i="1"/>
  <c r="AT51" i="1" s="1"/>
  <c r="AW62" i="1"/>
  <c r="AU47" i="1"/>
  <c r="AT47" i="1"/>
  <c r="AV66" i="1"/>
  <c r="AW66" i="1"/>
  <c r="AU66" i="1"/>
  <c r="AT66" i="1" s="1"/>
  <c r="AU71" i="1"/>
  <c r="AT71" i="1"/>
  <c r="AV76" i="1"/>
  <c r="AU76" i="1"/>
  <c r="AV58" i="1"/>
  <c r="AU58" i="1"/>
  <c r="AU63" i="1"/>
  <c r="AT63" i="1"/>
  <c r="AS67" i="1"/>
  <c r="AW75" i="1"/>
  <c r="AV75" i="1"/>
  <c r="AT75" i="1" s="1"/>
  <c r="AV68" i="1"/>
  <c r="AW76" i="1"/>
  <c r="AT18" i="1"/>
  <c r="AU43" i="1"/>
  <c r="AT43" i="1" s="1"/>
  <c r="AU37" i="1"/>
  <c r="AW37" i="1"/>
  <c r="AV37" i="1"/>
  <c r="AV54" i="1"/>
  <c r="AW69" i="1"/>
  <c r="AW59" i="1"/>
  <c r="AU59" i="1"/>
  <c r="AV59" i="1"/>
  <c r="AU53" i="1"/>
  <c r="AW53" i="1"/>
  <c r="AV53" i="1"/>
  <c r="AW77" i="1"/>
  <c r="AV77" i="1"/>
  <c r="AU77" i="1"/>
  <c r="AV60" i="1"/>
  <c r="AW60" i="1"/>
  <c r="AU60" i="1"/>
  <c r="AT60" i="1" s="1"/>
  <c r="AW19" i="1"/>
  <c r="AV19" i="1"/>
  <c r="AU19" i="1"/>
  <c r="AT19" i="1" s="1"/>
  <c r="AT39" i="1"/>
  <c r="AW35" i="1"/>
  <c r="AU35" i="1"/>
  <c r="AV35" i="1"/>
  <c r="AV36" i="1"/>
  <c r="AV11" i="1"/>
  <c r="AT11" i="1" s="1"/>
  <c r="AW11" i="1"/>
  <c r="AW26" i="1"/>
  <c r="AU46" i="1"/>
  <c r="AT46" i="1"/>
  <c r="AV50" i="1"/>
  <c r="AW50" i="1"/>
  <c r="AU50" i="1"/>
  <c r="AU70" i="1"/>
  <c r="AT70" i="1"/>
  <c r="AV41" i="1"/>
  <c r="AW41" i="1"/>
  <c r="AU41" i="1"/>
  <c r="AT41" i="1" s="1"/>
  <c r="AV61" i="1"/>
  <c r="AV65" i="1"/>
  <c r="AU65" i="1"/>
  <c r="AT65" i="1" s="1"/>
  <c r="AV74" i="1"/>
  <c r="AW74" i="1"/>
  <c r="AU74" i="1"/>
  <c r="AT74" i="1" s="1"/>
  <c r="AU31" i="1"/>
  <c r="AW31" i="1"/>
  <c r="AV31" i="1"/>
  <c r="AS78" i="1"/>
  <c r="AU24" i="1"/>
  <c r="AV24" i="1"/>
  <c r="AW24" i="1"/>
  <c r="AV29" i="1"/>
  <c r="AU30" i="1"/>
  <c r="AW30" i="1"/>
  <c r="AV30" i="1"/>
  <c r="AU6" i="1"/>
  <c r="AW6" i="1"/>
  <c r="AV6" i="1"/>
  <c r="AW57" i="1"/>
  <c r="AV57" i="1"/>
  <c r="AU57" i="1"/>
  <c r="AT57" i="1" s="1"/>
  <c r="AV52" i="1"/>
  <c r="AW52" i="1"/>
  <c r="AU52" i="1"/>
  <c r="AT52" i="1" s="1"/>
  <c r="AW20" i="1"/>
  <c r="AU20" i="1"/>
  <c r="AV20" i="1"/>
  <c r="AV10" i="1"/>
  <c r="AW10" i="1"/>
  <c r="AU10" i="1"/>
  <c r="AT10" i="1" s="1"/>
  <c r="AW28" i="1"/>
  <c r="AU28" i="1"/>
  <c r="AV28" i="1"/>
  <c r="AS7" i="1"/>
  <c r="AW18" i="1"/>
  <c r="AV18" i="1"/>
  <c r="AW51" i="1"/>
  <c r="AT14" i="1"/>
  <c r="AT21" i="1"/>
  <c r="AU39" i="1"/>
  <c r="AV43" i="1"/>
  <c r="AO52" i="1"/>
  <c r="AO59" i="1"/>
  <c r="AW61" i="1"/>
  <c r="AO66" i="1"/>
  <c r="AW68" i="1"/>
  <c r="AV23" i="1"/>
  <c r="AS40" i="1"/>
  <c r="AO46" i="1"/>
  <c r="AW23" i="1"/>
  <c r="AT40" i="1"/>
  <c r="AU40" i="1"/>
  <c r="AU29" i="1"/>
  <c r="AU36" i="1"/>
  <c r="AV40" i="1"/>
  <c r="AO45" i="1"/>
  <c r="AO44" i="1"/>
  <c r="AS45" i="1"/>
  <c r="AV42" i="1"/>
  <c r="AT42" i="1" s="1"/>
  <c r="AS73" i="1"/>
  <c r="AW42" i="1"/>
  <c r="AU27" i="1"/>
  <c r="AT27" i="1" s="1"/>
  <c r="AU34" i="1"/>
  <c r="AT34" i="1" s="1"/>
  <c r="AS48" i="1"/>
  <c r="AO54" i="1"/>
  <c r="AS55" i="1"/>
  <c r="AV55" i="1" s="1"/>
  <c r="AO61" i="1"/>
  <c r="AS62" i="1"/>
  <c r="AO68" i="1"/>
  <c r="AS69" i="1"/>
  <c r="AT73" i="1"/>
  <c r="AU38" i="1"/>
  <c r="AT23" i="1"/>
  <c r="AS27" i="1"/>
  <c r="AS9" i="1"/>
  <c r="AW9" i="1" s="1"/>
  <c r="AS16" i="1"/>
  <c r="AW16" i="1" s="1"/>
  <c r="AV34" i="1"/>
  <c r="AV9" i="1"/>
  <c r="AV16" i="1"/>
  <c r="AS26" i="1"/>
  <c r="AV26" i="1" s="1"/>
  <c r="AW27" i="1"/>
  <c r="AS33" i="1"/>
  <c r="AW33" i="1" s="1"/>
  <c r="AW34" i="1"/>
  <c r="AU48" i="1"/>
  <c r="AU55" i="1"/>
  <c r="AT55" i="1" s="1"/>
  <c r="AU62" i="1"/>
  <c r="AT62" i="1" s="1"/>
  <c r="AU69" i="1"/>
  <c r="AT69" i="1" s="1"/>
  <c r="AV73" i="1"/>
  <c r="AO7" i="1"/>
  <c r="AS8" i="1"/>
  <c r="AU8" i="1" s="1"/>
  <c r="AO14" i="1"/>
  <c r="AS15" i="1"/>
  <c r="AO21" i="1"/>
  <c r="AS22" i="1"/>
  <c r="AU44" i="1"/>
  <c r="AV48" i="1"/>
  <c r="AV62" i="1"/>
  <c r="AV69" i="1"/>
  <c r="AW73" i="1"/>
  <c r="AO78" i="1"/>
  <c r="AS79" i="1"/>
  <c r="AU79" i="1" s="1"/>
  <c r="AU23" i="1"/>
  <c r="AT15" i="1"/>
  <c r="AU26" i="1"/>
  <c r="AU33" i="1"/>
  <c r="AV44" i="1"/>
  <c r="AT44" i="1" s="1"/>
  <c r="AW48" i="1"/>
  <c r="AO53" i="1"/>
  <c r="AS54" i="1"/>
  <c r="AW54" i="1" s="1"/>
  <c r="AW55" i="1"/>
  <c r="AO60" i="1"/>
  <c r="AS61" i="1"/>
  <c r="AO67" i="1"/>
  <c r="AS68" i="1"/>
  <c r="AS43" i="1"/>
  <c r="AW43" i="1" s="1"/>
  <c r="AW44" i="1"/>
  <c r="AU61" i="1"/>
  <c r="AT61" i="1" s="1"/>
  <c r="AU68" i="1"/>
  <c r="AT68" i="1" s="1"/>
  <c r="AV79" i="1"/>
  <c r="AT22" i="1"/>
  <c r="AU15" i="1"/>
  <c r="AU22" i="1"/>
  <c r="AV15" i="1"/>
  <c r="AV22" i="1"/>
  <c r="AS25" i="1"/>
  <c r="AS32" i="1"/>
  <c r="AS39" i="1"/>
  <c r="AU54" i="1"/>
  <c r="AT26" i="1" l="1"/>
  <c r="AT54" i="1"/>
  <c r="AT79" i="1"/>
  <c r="AT30" i="1"/>
  <c r="AT35" i="1"/>
  <c r="AT24" i="1"/>
  <c r="AV7" i="1"/>
  <c r="AU7" i="1"/>
  <c r="AW7" i="1"/>
  <c r="AT28" i="1"/>
  <c r="AW78" i="1"/>
  <c r="AU78" i="1"/>
  <c r="AV78" i="1"/>
  <c r="AU16" i="1"/>
  <c r="AT16" i="1" s="1"/>
  <c r="AT77" i="1"/>
  <c r="AT58" i="1"/>
  <c r="AT29" i="1"/>
  <c r="AT49" i="1"/>
  <c r="AW8" i="1"/>
  <c r="AT8" i="1" s="1"/>
  <c r="AV25" i="1"/>
  <c r="AW25" i="1"/>
  <c r="AU67" i="1"/>
  <c r="AW67" i="1"/>
  <c r="AV67" i="1"/>
  <c r="AT31" i="1"/>
  <c r="AU9" i="1"/>
  <c r="AT9" i="1" s="1"/>
  <c r="AV8" i="1"/>
  <c r="AW79" i="1"/>
  <c r="AT53" i="1"/>
  <c r="AT6" i="1"/>
  <c r="AW32" i="1"/>
  <c r="AV32" i="1"/>
  <c r="AU32" i="1"/>
  <c r="AT32" i="1" s="1"/>
  <c r="AT56" i="1"/>
  <c r="AT20" i="1"/>
  <c r="AT59" i="1"/>
  <c r="AU25" i="1"/>
  <c r="AT36" i="1"/>
  <c r="AV33" i="1"/>
  <c r="AT33" i="1" s="1"/>
  <c r="AT76" i="1"/>
  <c r="AT50" i="1"/>
  <c r="AT37" i="1"/>
  <c r="AW45" i="1"/>
  <c r="AU45" i="1"/>
  <c r="AV45" i="1"/>
  <c r="AT13" i="1"/>
  <c r="AT45" i="1" l="1"/>
  <c r="AT25" i="1"/>
  <c r="AV2" i="1"/>
  <c r="AT67" i="1"/>
  <c r="AW2" i="1" s="1"/>
  <c r="AT78" i="1"/>
  <c r="AT7" i="1"/>
  <c r="AU2" i="1" s="1"/>
</calcChain>
</file>

<file path=xl/sharedStrings.xml><?xml version="1.0" encoding="utf-8"?>
<sst xmlns="http://schemas.openxmlformats.org/spreadsheetml/2006/main" count="663" uniqueCount="111">
  <si>
    <t>Fuel/Raw Material Usage and Waste Incineration Activity Data</t>
    <phoneticPr fontId="0" type="noConversion"/>
  </si>
  <si>
    <t>Total Scope 1
Emissions</t>
    <phoneticPr fontId="0" type="noConversion"/>
  </si>
  <si>
    <t>No</t>
    <phoneticPr fontId="0" type="noConversion"/>
  </si>
  <si>
    <t>Information of Entity/Facility Site</t>
    <phoneticPr fontId="0" type="noConversion"/>
  </si>
  <si>
    <t>Fuel Usage Information</t>
    <phoneticPr fontId="0" type="noConversion"/>
  </si>
  <si>
    <t>Deloitte_raw data 보완</t>
    <phoneticPr fontId="0" type="noConversion"/>
  </si>
  <si>
    <t>Emissions calculation</t>
    <phoneticPr fontId="0" type="noConversion"/>
  </si>
  <si>
    <t>Name of Entity</t>
  </si>
  <si>
    <t>Name of Facility</t>
  </si>
  <si>
    <t>Name of Own facility</t>
    <phoneticPr fontId="0" type="noConversion"/>
  </si>
  <si>
    <t>Classification of Fuel/Raw Material</t>
  </si>
  <si>
    <t>Emissions Activities</t>
    <phoneticPr fontId="0" type="noConversion"/>
  </si>
  <si>
    <t>Detailed Description</t>
  </si>
  <si>
    <t>Types of fuel</t>
  </si>
  <si>
    <t>Detailed Description of Fuel/Raw Material</t>
  </si>
  <si>
    <t>Fuel usage</t>
    <phoneticPr fontId="0" type="noConversion"/>
  </si>
  <si>
    <t>Jan</t>
  </si>
  <si>
    <t>Feb</t>
  </si>
  <si>
    <t>Mar</t>
  </si>
  <si>
    <t>Apr</t>
  </si>
  <si>
    <t>May</t>
  </si>
  <si>
    <t>Jun</t>
  </si>
  <si>
    <t>Jul</t>
  </si>
  <si>
    <t>Aug</t>
  </si>
  <si>
    <t>Sep</t>
  </si>
  <si>
    <t>Oct</t>
  </si>
  <si>
    <t>Nov</t>
  </si>
  <si>
    <t>Dec</t>
  </si>
  <si>
    <t>Unit</t>
    <phoneticPr fontId="0" type="noConversion"/>
  </si>
  <si>
    <t>Data Collection Year</t>
    <phoneticPr fontId="0" type="noConversion"/>
  </si>
  <si>
    <t>Combustion Type</t>
    <phoneticPr fontId="0" type="noConversion"/>
  </si>
  <si>
    <t>Types of fuel</t>
    <phoneticPr fontId="0" type="noConversion"/>
  </si>
  <si>
    <t xml:space="preserve"> For Review</t>
    <phoneticPr fontId="0" type="noConversion"/>
  </si>
  <si>
    <t>Fuel Consumption (kg)</t>
    <phoneticPr fontId="0" type="noConversion"/>
  </si>
  <si>
    <t>Energy Consumption (MJ)</t>
    <phoneticPr fontId="0" type="noConversion"/>
  </si>
  <si>
    <t>GHG Emissions (tCO2eq)</t>
    <phoneticPr fontId="0" type="noConversion"/>
  </si>
  <si>
    <r>
      <t>kgCO</t>
    </r>
    <r>
      <rPr>
        <b/>
        <vertAlign val="subscript"/>
        <sz val="11"/>
        <color theme="1"/>
        <rFont val="맑은 고딕"/>
        <family val="3"/>
        <charset val="129"/>
      </rPr>
      <t>2</t>
    </r>
  </si>
  <si>
    <r>
      <t>kgCH</t>
    </r>
    <r>
      <rPr>
        <b/>
        <vertAlign val="subscript"/>
        <sz val="11"/>
        <color theme="1"/>
        <rFont val="맑은 고딕"/>
        <family val="3"/>
        <charset val="129"/>
      </rPr>
      <t>4</t>
    </r>
  </si>
  <si>
    <r>
      <t>kgN</t>
    </r>
    <r>
      <rPr>
        <b/>
        <vertAlign val="subscript"/>
        <sz val="11"/>
        <color theme="1"/>
        <rFont val="맑은 고딕"/>
        <family val="3"/>
        <charset val="129"/>
      </rPr>
      <t>2</t>
    </r>
    <r>
      <rPr>
        <b/>
        <sz val="11"/>
        <color theme="1"/>
        <rFont val="맑은 고딕"/>
        <family val="3"/>
        <charset val="129"/>
      </rPr>
      <t>O</t>
    </r>
  </si>
  <si>
    <t>HOJEON LIMITED</t>
  </si>
  <si>
    <t>HOJEON LIMITED Co., Ltd</t>
  </si>
  <si>
    <t>Vehicle</t>
  </si>
  <si>
    <t>Fuel</t>
  </si>
  <si>
    <t>Mobile combustion</t>
  </si>
  <si>
    <t>차량 운행</t>
  </si>
  <si>
    <t>Automotive gasoline (petrol)</t>
    <phoneticPr fontId="0" type="noConversion"/>
  </si>
  <si>
    <t>㎥</t>
  </si>
  <si>
    <t>PT. KAHOINDAH CITRAGARMENT</t>
    <phoneticPr fontId="0" type="noConversion"/>
  </si>
  <si>
    <t>KAHOINDAH CITRAGARMENT</t>
  </si>
  <si>
    <t>Mobile combustion fuels and vehicle</t>
  </si>
  <si>
    <t>manager-level operational vehicles</t>
  </si>
  <si>
    <t>Automotive gasoline (petrol)</t>
  </si>
  <si>
    <t>RON 90 (called Pertalite)</t>
  </si>
  <si>
    <t>PT. KAHOINDAH CITRAGARMENT</t>
  </si>
  <si>
    <t>Boiler</t>
  </si>
  <si>
    <t>Stationary combustion fuels and equipment - Solid Fuel</t>
  </si>
  <si>
    <t>converts boiler combustion to produce heat that is used for steam ironing and fabric relaxation.</t>
  </si>
  <si>
    <t>Industrial Wastes</t>
  </si>
  <si>
    <t>Fabric Waste from Production</t>
  </si>
  <si>
    <t>kg</t>
  </si>
  <si>
    <t>Forklift</t>
  </si>
  <si>
    <t>to transport heavy weight item from one location to another location using forklift</t>
  </si>
  <si>
    <t>Biodiesel</t>
  </si>
  <si>
    <t>Biosolar (B30)</t>
  </si>
  <si>
    <t>Kitchen</t>
  </si>
  <si>
    <t>Stationary combustion fuels and equipment - Gaseous Fuel</t>
  </si>
  <si>
    <t>coocking food</t>
  </si>
  <si>
    <t>Liquefied Petroleum Gas (LPG)</t>
  </si>
  <si>
    <t>LPG 12 KG</t>
  </si>
  <si>
    <t>PT. YONGJIN JAVASUKA GARMENT</t>
  </si>
  <si>
    <t>PT. YONGJIN JAVASUKA GARMENT (1공장)</t>
  </si>
  <si>
    <t>Mess</t>
  </si>
  <si>
    <t>Stationary combustion</t>
  </si>
  <si>
    <t>Generator</t>
  </si>
  <si>
    <t>Gas / Diesel oil</t>
  </si>
  <si>
    <t>SOLAR</t>
  </si>
  <si>
    <t>FABRIC WASTE FROM CUTTING</t>
  </si>
  <si>
    <t>AC</t>
  </si>
  <si>
    <t>RawMaterial</t>
  </si>
  <si>
    <t>Others</t>
  </si>
  <si>
    <t>Hydrofluorocarbons(HFCs)</t>
  </si>
  <si>
    <t>HFC-410A</t>
    <phoneticPr fontId="0" type="noConversion"/>
  </si>
  <si>
    <t>ETC</t>
  </si>
  <si>
    <t>HCFC-22</t>
    <phoneticPr fontId="0" type="noConversion"/>
  </si>
  <si>
    <t>Car</t>
  </si>
  <si>
    <t>Automotive gasoline/diesel oil</t>
  </si>
  <si>
    <t>DIESEL OIL</t>
  </si>
  <si>
    <t>GASOLINE</t>
  </si>
  <si>
    <t>PT. YONGJIN JAVASUKA GARMENT (2,3공장)</t>
  </si>
  <si>
    <t>LPG 12 KG &amp; CAN 230 GR</t>
  </si>
  <si>
    <t>SOLAR/DIESEL OIL</t>
  </si>
  <si>
    <t>HFC-32</t>
    <phoneticPr fontId="0" type="noConversion"/>
  </si>
  <si>
    <t>PT. HJL INDO NETWORKS</t>
  </si>
  <si>
    <t>RON 92 (called pertamax)</t>
  </si>
  <si>
    <t>PT.HOGA REKSA GARMENT</t>
  </si>
  <si>
    <t>Power Generator</t>
    <phoneticPr fontId="0" type="noConversion"/>
  </si>
  <si>
    <t>Conversion of Diesel Combusting to Electric Energy</t>
  </si>
  <si>
    <t>Company Controlled Vehicle for Logistic Purpose</t>
  </si>
  <si>
    <t>Company Controlled Vehicle for Business Purpose</t>
  </si>
  <si>
    <t>차량</t>
  </si>
  <si>
    <t>원료</t>
  </si>
  <si>
    <t>이동연소</t>
  </si>
  <si>
    <t>RON 92 (called [ertamax)</t>
  </si>
  <si>
    <t>RON 90</t>
  </si>
  <si>
    <t>Stationary combustion</t>
    <phoneticPr fontId="0" type="noConversion"/>
  </si>
  <si>
    <t>HFC-32</t>
  </si>
  <si>
    <t>R11 for blasting/cleaning</t>
  </si>
  <si>
    <t>CFC-11</t>
    <phoneticPr fontId="0" type="noConversion"/>
  </si>
  <si>
    <t>DIESEL OIL/SOLAR</t>
  </si>
  <si>
    <t>PERTALITE (RONN 90)</t>
  </si>
  <si>
    <t>Convertion of Diesel Combusting to Electric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</si>
</sst>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0.00_ "/>
    <numFmt numFmtId="165" formatCode="_-* #,##0.00_-;\-* #,##0.00_-;_-* &quot;-&quot;_-;_-@_-"/>
  </numFmts>
  <fonts count="12">
    <font>
      <sz val="11"/>
      <color theme="1"/>
      <name val="맑은 고딕"/>
      <family val="2"/>
      <charset val="129"/>
    </font>
    <font>
      <sz val="11"/>
      <color theme="1"/>
      <name val="맑은 고딕"/>
      <family val="2"/>
      <charset val="129"/>
    </font>
    <font>
      <b/>
      <sz val="11"/>
      <color theme="1"/>
      <name val="맑은 고딕"/>
      <family val="3"/>
      <charset val="129"/>
    </font>
    <font>
      <b/>
      <sz val="14"/>
      <color theme="0"/>
      <name val="맑은 고딕"/>
      <family val="3"/>
      <charset val="129"/>
    </font>
    <font>
      <b/>
      <sz val="16"/>
      <color theme="1"/>
      <name val="맑은 고딕"/>
      <family val="3"/>
      <charset val="129"/>
    </font>
    <font>
      <b/>
      <sz val="11"/>
      <color theme="0"/>
      <name val="맑은 고딕"/>
      <family val="3"/>
      <charset val="129"/>
    </font>
    <font>
      <b/>
      <sz val="11"/>
      <name val="맑은 고딕"/>
      <family val="3"/>
      <charset val="129"/>
    </font>
    <font>
      <b/>
      <vertAlign val="subscript"/>
      <sz val="11"/>
      <color theme="1"/>
      <name val="맑은 고딕"/>
      <family val="3"/>
      <charset val="129"/>
    </font>
    <font>
      <sz val="11"/>
      <color rgb="FFFF0000"/>
      <name val="맑은 고딕"/>
      <family val="2"/>
      <charset val="129"/>
    </font>
    <font>
      <sz val="11"/>
      <color theme="0" tint="-0.34998626667073579"/>
      <name val="맑은 고딕"/>
      <family val="3"/>
      <charset val="129"/>
    </font>
    <font>
      <sz val="11"/>
      <color theme="1"/>
      <name val="맑은 고딕"/>
      <family val="3"/>
      <charset val="129"/>
    </font>
    <font>
      <sz val="11"/>
      <name val="맑은 고딕"/>
      <family val="2"/>
      <charset val="129"/>
    </font>
  </fonts>
  <fills count="10">
    <fill>
      <patternFill patternType="none"/>
    </fill>
    <fill>
      <patternFill patternType="gray125"/>
    </fill>
    <fill>
      <patternFill patternType="solid">
        <fgColor theme="1" tint="0.249977111117893"/>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44">
    <xf numFmtId="0" fontId="0" fillId="0" borderId="0" xfId="0">
      <alignment vertical="center"/>
    </xf>
    <xf numFmtId="0" fontId="0" fillId="0" borderId="0" xfId="0" applyAlignment="1">
      <alignment horizontal="center" vertical="center"/>
    </xf>
    <xf numFmtId="164" fontId="0" fillId="0" borderId="0" xfId="0" applyNumberFormat="1">
      <alignment vertical="center"/>
    </xf>
    <xf numFmtId="164" fontId="0" fillId="0" borderId="0" xfId="0" applyNumberFormat="1" applyAlignment="1">
      <alignment horizontal="center" vertical="center"/>
    </xf>
    <xf numFmtId="0" fontId="2" fillId="0" borderId="0" xfId="0" applyFont="1" applyAlignment="1">
      <alignment horizontal="center" vertical="center"/>
    </xf>
    <xf numFmtId="0" fontId="3" fillId="2" borderId="1" xfId="0" applyFont="1" applyFill="1" applyBorder="1">
      <alignment vertical="center"/>
    </xf>
    <xf numFmtId="0" fontId="3" fillId="2" borderId="0" xfId="0" applyFont="1" applyFill="1">
      <alignment vertical="center"/>
    </xf>
    <xf numFmtId="0" fontId="3" fillId="3" borderId="2" xfId="0" applyFont="1" applyFill="1" applyBorder="1" applyAlignment="1">
      <alignment horizontal="center" vertical="center" wrapText="1"/>
    </xf>
    <xf numFmtId="41" fontId="4" fillId="4" borderId="3" xfId="1" applyFont="1" applyFill="1" applyBorder="1" applyAlignment="1">
      <alignment horizontal="center" vertical="center"/>
    </xf>
    <xf numFmtId="41" fontId="4" fillId="4" borderId="4" xfId="1" applyFont="1" applyFill="1" applyBorder="1" applyAlignment="1">
      <alignment horizontal="center" vertical="center"/>
    </xf>
    <xf numFmtId="43" fontId="2" fillId="0" borderId="0" xfId="0" applyNumberFormat="1" applyFont="1" applyAlignment="1">
      <alignment horizontal="center" vertical="center"/>
    </xf>
    <xf numFmtId="0" fontId="5" fillId="2" borderId="5" xfId="0" applyFont="1" applyFill="1" applyBorder="1" applyAlignment="1">
      <alignment horizontal="center" vertical="center"/>
    </xf>
    <xf numFmtId="0" fontId="5" fillId="2"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5" xfId="0" applyFont="1" applyFill="1" applyBorder="1" applyAlignment="1">
      <alignment horizontal="center" vertical="center" wrapText="1"/>
    </xf>
    <xf numFmtId="0" fontId="6" fillId="6" borderId="5" xfId="0" applyFont="1" applyFill="1" applyBorder="1" applyAlignment="1">
      <alignment horizontal="center" vertical="center"/>
    </xf>
    <xf numFmtId="164" fontId="6" fillId="6" borderId="5" xfId="0" applyNumberFormat="1" applyFont="1" applyFill="1" applyBorder="1" applyAlignment="1">
      <alignment horizontal="center" vertical="center"/>
    </xf>
    <xf numFmtId="164" fontId="2" fillId="7" borderId="5" xfId="0" applyNumberFormat="1" applyFont="1" applyFill="1" applyBorder="1" applyAlignment="1">
      <alignment horizontal="center" vertical="center"/>
    </xf>
    <xf numFmtId="164" fontId="2" fillId="8" borderId="5" xfId="0" applyNumberFormat="1" applyFont="1" applyFill="1" applyBorder="1" applyAlignment="1">
      <alignment horizontal="center" vertical="center"/>
    </xf>
    <xf numFmtId="0" fontId="2" fillId="8" borderId="5" xfId="0" applyFont="1" applyFill="1" applyBorder="1" applyAlignment="1">
      <alignment horizontal="center" vertical="center"/>
    </xf>
    <xf numFmtId="0" fontId="0" fillId="0" borderId="5" xfId="0" applyBorder="1" applyAlignment="1">
      <alignment horizontal="center" vertical="center"/>
    </xf>
    <xf numFmtId="0" fontId="0" fillId="0" borderId="5" xfId="0" applyBorder="1">
      <alignment vertical="center"/>
    </xf>
    <xf numFmtId="0" fontId="8" fillId="8" borderId="5" xfId="0" applyFont="1" applyFill="1" applyBorder="1">
      <alignment vertical="center"/>
    </xf>
    <xf numFmtId="165" fontId="0" fillId="0" borderId="5" xfId="1" applyNumberFormat="1" applyFont="1" applyBorder="1">
      <alignment vertical="center"/>
    </xf>
    <xf numFmtId="164" fontId="0" fillId="0" borderId="5" xfId="0" applyNumberFormat="1" applyBorder="1">
      <alignment vertical="center"/>
    </xf>
    <xf numFmtId="0" fontId="9" fillId="0" borderId="5" xfId="0" applyFont="1" applyBorder="1" applyAlignment="1">
      <alignment horizontal="center" vertical="center"/>
    </xf>
    <xf numFmtId="165" fontId="0" fillId="0" borderId="5" xfId="1" applyNumberFormat="1" applyFont="1" applyBorder="1" applyAlignment="1">
      <alignment horizontal="center" vertical="center"/>
    </xf>
    <xf numFmtId="41" fontId="0" fillId="9" borderId="5" xfId="1" applyFont="1" applyFill="1" applyBorder="1" applyAlignment="1">
      <alignment horizontal="right" vertical="center"/>
    </xf>
    <xf numFmtId="41" fontId="10" fillId="0" borderId="5" xfId="1" applyFont="1" applyBorder="1" applyAlignment="1">
      <alignment horizontal="right" vertical="center"/>
    </xf>
    <xf numFmtId="165" fontId="11" fillId="0" borderId="5" xfId="1" applyNumberFormat="1" applyFont="1" applyFill="1" applyBorder="1" applyAlignment="1">
      <alignment horizontal="right" vertical="center"/>
    </xf>
    <xf numFmtId="40" fontId="0" fillId="0" borderId="5" xfId="0" applyNumberFormat="1" applyBorder="1" applyAlignment="1">
      <alignment horizontal="right" vertical="center"/>
    </xf>
    <xf numFmtId="41" fontId="0" fillId="0" borderId="5" xfId="1" applyFont="1" applyBorder="1" applyAlignment="1">
      <alignment horizontal="center" vertical="center"/>
    </xf>
    <xf numFmtId="41" fontId="0" fillId="0" borderId="5" xfId="1" applyFont="1" applyBorder="1" applyAlignment="1">
      <alignment horizontal="right" vertical="center"/>
    </xf>
    <xf numFmtId="165" fontId="0" fillId="0" borderId="5" xfId="1" applyNumberFormat="1" applyFont="1" applyFill="1" applyBorder="1">
      <alignment vertical="center"/>
    </xf>
    <xf numFmtId="165" fontId="0" fillId="0" borderId="5" xfId="1" applyNumberFormat="1" applyFont="1" applyBorder="1" applyAlignment="1">
      <alignment horizontal="right" vertical="center"/>
    </xf>
    <xf numFmtId="0" fontId="0" fillId="0" borderId="6" xfId="0" applyBorder="1">
      <alignment vertical="center"/>
    </xf>
    <xf numFmtId="41" fontId="0" fillId="0" borderId="0" xfId="0" applyNumberFormat="1">
      <alignment vertical="center"/>
    </xf>
    <xf numFmtId="43" fontId="0" fillId="0" borderId="0" xfId="0" applyNumberFormat="1">
      <alignment vertical="center"/>
    </xf>
    <xf numFmtId="0" fontId="11" fillId="0" borderId="0" xfId="0" applyFont="1" applyAlignment="1">
      <alignment horizontal="center" vertical="center"/>
    </xf>
    <xf numFmtId="41" fontId="0" fillId="0" borderId="0" xfId="1" applyFont="1">
      <alignment vertical="center"/>
    </xf>
    <xf numFmtId="41" fontId="0" fillId="0" borderId="0" xfId="1" applyFont="1" applyAlignment="1">
      <alignment horizontal="center" vertical="center"/>
    </xf>
  </cellXfs>
  <cellStyles count="2">
    <cellStyle name="Comma [0] 2" xfId="1" xr:uid="{A78B069D-245F-4AFC-99A5-5168BC2CF1BB}"/>
    <cellStyle name="Normal" xfId="0" builtinId="0"/>
  </cellStyles>
  <dxfs count="1">
    <dxf>
      <font>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J-COMPLIANCE\Downloads\Documents\HOJEON!\Hojeon%20Limited_Scope%201,%202%20emissions%20calculation%20template_vf.xlsx" TargetMode="External"/><Relationship Id="rId1" Type="http://schemas.openxmlformats.org/officeDocument/2006/relationships/externalLinkPath" Target="/Users/YJ-COMPLIANCE/Downloads/Documents/HOJEON!/Hojeon%20Limited_Scope%201,%202%20emissions%20calculation%20template_vf.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XCapeDeth++\hojeon_yongjin\app-hojeon\app\excel\Information&amp;scoope%201.xlsx" TargetMode="External"/><Relationship Id="rId1" Type="http://schemas.openxmlformats.org/officeDocument/2006/relationships/externalLinkPath" Target="Information&amp;scoope%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medeloitte.sharepoint.com/Users/Taeho%20Kim/Desktop/&#51089;&#50629;&#54260;&#45908;/&#51064;&#48292;&#53664;&#47532;/&#51228;&#51068;&#47784;&#51649;/&#52572;&#51333;%20&#44208;&#44284;&#47932;/&#51228;&#51068;&#47784;&#51649;/&#50668;&#49688;/1.%20Worksheet/version12/&#51228;&#51068;&#47784;&#51649;_GHG_&#50668;&#49688;_worksheet_v12.1_20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medeloitte.sharepoint.com/DOCUME~1/&#50724;&#45824;&#49457;/LOCALS~1/Temp/BAEY6VVYECRECH8I3F6YYJ9E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medeloitte.sharepoint.com/Users/kibumkim/Desktop/&#49352;%20&#54260;&#45908;/(LS&#51204;&#49440;%20&#52280;&#44256;&#50857;)%20XXXXXX%20&#44397;&#45236;&#49324;&#50629;&#51109;%20Scope%203%20&#49328;&#51221;%20Toolki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44288;&#47532;&#51088;\AppData\Roaming\Microsoft\Excel\IPCC_Waste_Mode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medeloitte.sharepoint.com/Users/BF752FT/Downloads/&#54620;&#44397;&#51312;&#49440;&#54644;&#50577;_2020_2021_Scope3_Modeling_final_r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4A26476\Sample_&#53444;&#49548;&#51473;&#47549;%20&#51116;&#47924;%20&#47784;&#45944;_&#53685;&#54633;_22052021_ver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4.7.40\sbplan\(&#51312;&#49324;)%20&#44228;&#50557;%20&#48143;%20&#44228;&#50557;%20&#50696;&#51221;%20&#54788;&#54889;\2020&#45380;\2020&#45380;%20&#44228;&#50557;&#54788;&#54889;3&#49324;%20&#51333;&#54633;%20&#50689;&#50629;&#48376;&#48512;&#51109;%20&#48372;&#44256;&#50857;_210204(EVEREST%20&#49325;&#51228;).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amedeloitte.sharepoint.com/Documents%20and%20Settings/c15942/&#48148;&#53461;%20&#54868;&#47732;/Balance/4-Balance/Steam%20Balance(200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Users\ecosian\AppData\Roaming\Microsoft\Excel\Standalone_Version1_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personal/sangkyun_jeong_kr_ey_com/Documents/Desktop/Copy%20of%2021&#45380;%20&#44397;&#45236;&#52636;&#51109;%20&#50728;&#49892;&#44032;&#49828;%20&#48176;&#52636;&#47049;_v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48149;&#51008;&#54812;%20&#51088;&#47308;\&#45236;%20&#47928;&#49436;\CDM%20&#51060;&#50808;%20&#49324;&#50629;&#52628;&#51652;\&#51652;&#54665;-&#51064;&#48292;&#53664;&#47532;-&#50504;&#49328;&#46020;&#49884;&#44060;&#48156;\05.&#48176;&#52636;&#47049;&#49328;&#51221;\01.GHG%20Inventory\01.&#51064;&#48292;&#53664;&#47532;%20Ver%200\&#50504;&#49328;&#46020;&#49884;&#44060;&#48156;_GHG%20Inventory_ver%200.11(101012)_&#51008;&#54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1. General Facility Information"/>
      <sheetName val="■ Emissions_Auto-calculation"/>
      <sheetName val="2-1. Quantitative data_Location"/>
      <sheetName val="2-2. Quantitative data_Market"/>
      <sheetName val="(참고} 시각데이터"/>
      <sheetName val="■ Backup Data_Updated yearly"/>
      <sheetName val="3-1. (Raw data) Scope 1"/>
      <sheetName val="3-2. (Raw data) Scope2_Location"/>
      <sheetName val="3-3. (Raw data) Scope 2_Market"/>
      <sheetName val="3-4. (Raw data) Scope 2_RE"/>
      <sheetName val="■Facility status_Updated yearly"/>
      <sheetName val="4-1. Data log history"/>
      <sheetName val="4-2. Emission reduction status"/>
      <sheetName val="■ References_Updated yearly"/>
      <sheetName val="5-1. Fuel Density"/>
      <sheetName val="5-2. Emission Facility"/>
      <sheetName val="5-3. Unit Conversion"/>
      <sheetName val="5-4. Calorific&amp;Emission factor"/>
    </sheetNames>
    <sheetDataSet>
      <sheetData sheetId="0"/>
      <sheetData sheetId="1">
        <row r="7">
          <cell r="C7" t="str">
            <v>HOJEON LIMITED</v>
          </cell>
          <cell r="D7" t="str">
            <v>HOJEON LIMITED Co., Ltd</v>
          </cell>
          <cell r="E7" t="str">
            <v>Korea</v>
          </cell>
        </row>
        <row r="8">
          <cell r="C8" t="str">
            <v>PT. KAHOINDAH CITRAGARMENT</v>
          </cell>
          <cell r="D8" t="str">
            <v>KAHOINDAH CITRAGARMENT</v>
          </cell>
          <cell r="E8" t="str">
            <v>Indonesia</v>
          </cell>
        </row>
        <row r="9">
          <cell r="C9" t="str">
            <v>PT. YONGJIN JAVASUKA GARMENT</v>
          </cell>
          <cell r="D9" t="str">
            <v>PT. YONGJIN JAVASUKA GARMENT (1공장)</v>
          </cell>
          <cell r="E9" t="str">
            <v>Indonesia</v>
          </cell>
        </row>
        <row r="10">
          <cell r="C10" t="str">
            <v>PT. YONGJIN JAVASUKA GARMENT</v>
          </cell>
          <cell r="D10" t="str">
            <v>PT. YONGJIN JAVASUKA GARMENT (2,3공장)</v>
          </cell>
          <cell r="E10" t="str">
            <v>Indonesia</v>
          </cell>
        </row>
        <row r="11">
          <cell r="C11" t="str">
            <v>PT. HJL INDO NETWORKS</v>
          </cell>
          <cell r="D11" t="str">
            <v>PT. HJL INDO NETWORKS</v>
          </cell>
          <cell r="E11" t="str">
            <v>Indonesia</v>
          </cell>
        </row>
        <row r="12">
          <cell r="C12" t="str">
            <v>PT.HOGA REKSA GARMENT</v>
          </cell>
          <cell r="D12" t="str">
            <v>PT.HOGA REKSA GARMENT</v>
          </cell>
          <cell r="E12" t="str">
            <v>Indonesia</v>
          </cell>
        </row>
        <row r="13">
          <cell r="C13" t="str">
            <v>㈜엠파파</v>
          </cell>
          <cell r="D13" t="str">
            <v>MFAFA Co., Ltd</v>
          </cell>
          <cell r="E13" t="str">
            <v>Korea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6">
          <cell r="B6" t="str">
            <v>Automotive gasoline (petrol)</v>
          </cell>
          <cell r="C6" t="str">
            <v>Automotive gasoline (petrol)</v>
          </cell>
          <cell r="D6">
            <v>0.74099999999999999</v>
          </cell>
          <cell r="E6" t="str">
            <v>IEA</v>
          </cell>
          <cell r="F6">
            <v>2024.07</v>
          </cell>
          <cell r="G6" t="str">
            <v>https://www.iea.org/data-and-statistics/data-product/oil-information#documentation</v>
          </cell>
        </row>
        <row r="7">
          <cell r="B7" t="str">
            <v>Gas / Diesel oil</v>
          </cell>
          <cell r="C7" t="str">
            <v>Gas / Diesel oil</v>
          </cell>
          <cell r="D7">
            <v>0.84399999999999997</v>
          </cell>
          <cell r="E7" t="str">
            <v>IEA</v>
          </cell>
          <cell r="F7">
            <v>2024.07</v>
          </cell>
          <cell r="G7" t="str">
            <v>https://www.iea.org/data-and-statistics/data-product/oil-information#documentation</v>
          </cell>
        </row>
        <row r="8">
          <cell r="B8" t="str">
            <v>Liquefied Petroleum Gas (LPG)</v>
          </cell>
          <cell r="C8" t="str">
            <v>Liquefied Petroleum Gas (LPG)</v>
          </cell>
          <cell r="D8">
            <v>0.53900000000000003</v>
          </cell>
          <cell r="E8" t="str">
            <v>IEA</v>
          </cell>
          <cell r="F8">
            <v>2024.07</v>
          </cell>
          <cell r="G8" t="str">
            <v>https://www.iea.org/data-and-statistics/data-product/oil-information#documentation</v>
          </cell>
        </row>
        <row r="9">
          <cell r="B9" t="str">
            <v>Biodiesel</v>
          </cell>
          <cell r="C9" t="str">
            <v>Biodiesel</v>
          </cell>
          <cell r="D9">
            <v>0.84499999999999997</v>
          </cell>
          <cell r="E9" t="str">
            <v>한국석유관리원</v>
          </cell>
          <cell r="G9" t="str">
            <v>https://www.kpetro.or.kr/lay1/S1T132C443/contents.do</v>
          </cell>
        </row>
        <row r="10">
          <cell r="B10" t="str">
            <v>Automotive gasoline (petrol)</v>
          </cell>
          <cell r="C10" t="str">
            <v>Automotive gasoline/diesel oil</v>
          </cell>
          <cell r="E10" t="str">
            <v>Automotive gasoline / Diesel oil</v>
          </cell>
        </row>
        <row r="11">
          <cell r="B11" t="str">
            <v>Automotive gasoline (LPG)</v>
          </cell>
          <cell r="C11" t="str">
            <v>Automotive Liquefied Petroleum Gas (LPG)</v>
          </cell>
        </row>
        <row r="12">
          <cell r="B12" t="str">
            <v>Industrial Wastes</v>
          </cell>
          <cell r="C12" t="str">
            <v>Industrial Wastes</v>
          </cell>
        </row>
        <row r="13">
          <cell r="B13" t="str">
            <v>Carbon Dioxide (CO2)</v>
          </cell>
          <cell r="C13" t="str">
            <v>Carbon dioxide(CO2)</v>
          </cell>
          <cell r="G13" t="str">
            <v>Use of other GHGs</v>
          </cell>
        </row>
        <row r="14">
          <cell r="B14" t="str">
            <v>Hydrofluorocarbons(HFCs)</v>
          </cell>
          <cell r="C14" t="str">
            <v>Hydrofluorocarbons(HFCs)</v>
          </cell>
          <cell r="D14">
            <v>0.6</v>
          </cell>
          <cell r="G14" t="str">
            <v>Use of other GHGs</v>
          </cell>
        </row>
        <row r="15">
          <cell r="B15" t="str">
            <v>Perfluorocarbons (PFCs)</v>
          </cell>
          <cell r="C15" t="str">
            <v>Perfluorocarbons(PFCs)</v>
          </cell>
          <cell r="G15" t="str">
            <v>Use of other GHGs</v>
          </cell>
        </row>
        <row r="16">
          <cell r="B16" t="str">
            <v>Sulfur hexafluoride (SF₆)</v>
          </cell>
          <cell r="C16" t="str">
            <v>Sulfur hexafluoride(SF6)</v>
          </cell>
          <cell r="G16" t="str">
            <v>Use of other GHGs</v>
          </cell>
        </row>
        <row r="17">
          <cell r="B17" t="str">
            <v>Nitrogen trifluoride (NF₃)</v>
          </cell>
          <cell r="C17" t="str">
            <v>Nitrogen trifluoride(NF3)</v>
          </cell>
          <cell r="G17" t="str">
            <v>Use of other GHGs</v>
          </cell>
        </row>
        <row r="18">
          <cell r="B18" t="str">
            <v>Hydrofluorocarbons(HFCs)</v>
          </cell>
          <cell r="C18" t="str">
            <v>ETC</v>
          </cell>
          <cell r="G18" t="str">
            <v>Use of other GHGs</v>
          </cell>
        </row>
        <row r="19">
          <cell r="B19" t="str">
            <v>Chlorodifluoromethane (HCFC-22)</v>
          </cell>
          <cell r="C19" t="str">
            <v>R22</v>
          </cell>
          <cell r="D19">
            <v>1194</v>
          </cell>
          <cell r="E19" t="str">
            <v>NIST</v>
          </cell>
          <cell r="G19" t="str">
            <v>Use of other GHGs</v>
          </cell>
        </row>
      </sheetData>
      <sheetData sheetId="16">
        <row r="7">
          <cell r="B7" t="str">
            <v>차량</v>
          </cell>
          <cell r="C7" t="str">
            <v>Vehicle</v>
          </cell>
          <cell r="D7" t="str">
            <v>Mobile combustion</v>
          </cell>
        </row>
        <row r="8">
          <cell r="B8" t="str">
            <v>Vehicle</v>
          </cell>
          <cell r="C8" t="str">
            <v>Vehicle</v>
          </cell>
          <cell r="D8" t="str">
            <v>Mobile combustion</v>
          </cell>
        </row>
        <row r="9">
          <cell r="B9" t="str">
            <v>Boiler</v>
          </cell>
          <cell r="C9" t="str">
            <v>Boiler</v>
          </cell>
          <cell r="D9" t="str">
            <v>Stationary Combustion</v>
          </cell>
        </row>
        <row r="10">
          <cell r="B10" t="str">
            <v>Forklift</v>
          </cell>
          <cell r="C10" t="str">
            <v>Forklift</v>
          </cell>
          <cell r="D10" t="str">
            <v>Mobile combustion</v>
          </cell>
        </row>
        <row r="11">
          <cell r="B11" t="str">
            <v>Kitchen</v>
          </cell>
          <cell r="C11" t="str">
            <v>Kitchen</v>
          </cell>
          <cell r="D11" t="str">
            <v>Others</v>
          </cell>
        </row>
        <row r="12">
          <cell r="B12" t="str">
            <v>Mess</v>
          </cell>
          <cell r="C12" t="str">
            <v>Mess</v>
          </cell>
          <cell r="D12" t="str">
            <v>Others</v>
          </cell>
        </row>
        <row r="13">
          <cell r="B13" t="str">
            <v>Generator</v>
          </cell>
          <cell r="C13" t="str">
            <v>Generator</v>
          </cell>
          <cell r="D13" t="str">
            <v>Stationary Combustion</v>
          </cell>
        </row>
        <row r="14">
          <cell r="B14" t="str">
            <v>AC</v>
          </cell>
          <cell r="C14" t="str">
            <v>AC</v>
          </cell>
          <cell r="D14" t="str">
            <v>Process Emissions</v>
          </cell>
        </row>
        <row r="15">
          <cell r="B15" t="str">
            <v>Car</v>
          </cell>
          <cell r="C15" t="str">
            <v>Vehicle</v>
          </cell>
          <cell r="D15" t="str">
            <v>Mobile combustion</v>
          </cell>
        </row>
        <row r="16">
          <cell r="B16" t="str">
            <v>Power Generator</v>
          </cell>
          <cell r="C16" t="str">
            <v>Power Generator</v>
          </cell>
          <cell r="D16" t="str">
            <v>Stationary Combustion</v>
          </cell>
        </row>
      </sheetData>
      <sheetData sheetId="17">
        <row r="5">
          <cell r="B5" t="str">
            <v>Volume</v>
          </cell>
          <cell r="C5" t="str">
            <v>Nm3(Gas)</v>
          </cell>
          <cell r="D5" t="str">
            <v>㎥</v>
          </cell>
          <cell r="E5" t="str">
            <v>㎤</v>
          </cell>
          <cell r="F5" t="str">
            <v>liter</v>
          </cell>
          <cell r="G5" t="str">
            <v>in3</v>
          </cell>
          <cell r="H5" t="str">
            <v>ft3</v>
          </cell>
          <cell r="I5" t="str">
            <v>gal(미)</v>
          </cell>
          <cell r="J5" t="str">
            <v>bbl</v>
          </cell>
        </row>
        <row r="6">
          <cell r="B6" t="str">
            <v>Nm3(Gas)</v>
          </cell>
          <cell r="C6">
            <v>1</v>
          </cell>
          <cell r="D6">
            <v>1</v>
          </cell>
          <cell r="E6">
            <v>1000000</v>
          </cell>
          <cell r="F6">
            <v>1000</v>
          </cell>
          <cell r="G6">
            <v>61023.744100000004</v>
          </cell>
          <cell r="H6">
            <v>35.314667</v>
          </cell>
          <cell r="I6">
            <v>264.17205200000001</v>
          </cell>
          <cell r="J6">
            <v>6.293266</v>
          </cell>
        </row>
        <row r="7">
          <cell r="B7" t="str">
            <v>㎥</v>
          </cell>
          <cell r="C7">
            <v>1</v>
          </cell>
          <cell r="D7">
            <v>1</v>
          </cell>
          <cell r="E7">
            <v>1000000</v>
          </cell>
          <cell r="F7">
            <v>1000</v>
          </cell>
          <cell r="G7">
            <v>61023.744100000004</v>
          </cell>
          <cell r="H7">
            <v>35.314667</v>
          </cell>
          <cell r="I7">
            <v>264.17205200000001</v>
          </cell>
          <cell r="J7">
            <v>6.293266</v>
          </cell>
        </row>
        <row r="8">
          <cell r="B8" t="str">
            <v>㎤</v>
          </cell>
          <cell r="C8">
            <v>9.9999999999999995E-7</v>
          </cell>
          <cell r="D8">
            <v>9.9999999999999995E-7</v>
          </cell>
          <cell r="E8">
            <v>1</v>
          </cell>
          <cell r="F8">
            <v>1E-3</v>
          </cell>
          <cell r="G8">
            <v>6.1023744100000006E-2</v>
          </cell>
          <cell r="H8">
            <v>3.5314666999999999E-5</v>
          </cell>
          <cell r="I8">
            <v>2.6417205200000003E-4</v>
          </cell>
          <cell r="J8">
            <v>6.2932659999999999E-6</v>
          </cell>
        </row>
        <row r="9">
          <cell r="B9" t="str">
            <v>liter</v>
          </cell>
          <cell r="C9">
            <v>1E-3</v>
          </cell>
          <cell r="D9">
            <v>1E-3</v>
          </cell>
          <cell r="E9">
            <v>1000</v>
          </cell>
          <cell r="F9">
            <v>1</v>
          </cell>
          <cell r="G9">
            <v>61.023744100000009</v>
          </cell>
          <cell r="H9">
            <v>3.5314667000000001E-2</v>
          </cell>
          <cell r="I9">
            <v>0.26417205200000005</v>
          </cell>
          <cell r="J9">
            <v>6.2932659999999996E-3</v>
          </cell>
        </row>
        <row r="10">
          <cell r="B10" t="str">
            <v>in3</v>
          </cell>
          <cell r="C10">
            <v>1.5999999999999999E-5</v>
          </cell>
          <cell r="D10">
            <v>1.5999999999999999E-5</v>
          </cell>
          <cell r="E10">
            <v>16.387063999999999</v>
          </cell>
          <cell r="F10">
            <v>1.6387064E-2</v>
          </cell>
          <cell r="G10">
            <v>1.0000000000863225</v>
          </cell>
          <cell r="H10">
            <v>5.7870370826768795E-4</v>
          </cell>
          <cell r="I10">
            <v>4.3290000000000004E-3</v>
          </cell>
          <cell r="J10">
            <v>1.0312804972268602E-4</v>
          </cell>
        </row>
        <row r="11">
          <cell r="B11" t="str">
            <v>ft3</v>
          </cell>
          <cell r="C11">
            <v>2.8316999999999998E-2</v>
          </cell>
          <cell r="D11">
            <v>2.8316999999999998E-2</v>
          </cell>
          <cell r="E11">
            <v>28316.844659999999</v>
          </cell>
          <cell r="F11">
            <v>28.316846999999999</v>
          </cell>
          <cell r="G11">
            <v>1728</v>
          </cell>
          <cell r="H11">
            <v>1</v>
          </cell>
          <cell r="I11">
            <v>7.4805190000000001</v>
          </cell>
          <cell r="J11">
            <v>0.178205</v>
          </cell>
        </row>
        <row r="12">
          <cell r="B12" t="str">
            <v>gal(미)</v>
          </cell>
          <cell r="C12">
            <v>3.7850000000000002E-3</v>
          </cell>
          <cell r="D12">
            <v>3.7850000000000002E-3</v>
          </cell>
          <cell r="E12">
            <v>3785.4117799999999</v>
          </cell>
          <cell r="F12">
            <v>3.785412</v>
          </cell>
          <cell r="G12">
            <v>231</v>
          </cell>
          <cell r="H12">
            <v>0.13368099999999999</v>
          </cell>
          <cell r="I12">
            <v>1</v>
          </cell>
          <cell r="J12">
            <v>2.3823E-2</v>
          </cell>
        </row>
        <row r="13">
          <cell r="B13" t="str">
            <v>bbl</v>
          </cell>
          <cell r="C13">
            <v>0.15890000000000001</v>
          </cell>
          <cell r="D13">
            <v>0.15890000000000001</v>
          </cell>
          <cell r="E13">
            <v>158900</v>
          </cell>
          <cell r="F13">
            <v>158.9</v>
          </cell>
          <cell r="G13">
            <v>9696.6729400000004</v>
          </cell>
          <cell r="H13">
            <v>5.6115009999999996</v>
          </cell>
          <cell r="I13">
            <v>41.976939000000002</v>
          </cell>
          <cell r="J13">
            <v>1</v>
          </cell>
        </row>
        <row r="16">
          <cell r="B16" t="str">
            <v>Weight</v>
          </cell>
          <cell r="C16" t="str">
            <v>g</v>
          </cell>
          <cell r="D16" t="str">
            <v>kg</v>
          </cell>
          <cell r="E16" t="str">
            <v>oz</v>
          </cell>
          <cell r="F16" t="str">
            <v>lb</v>
          </cell>
          <cell r="G16" t="str">
            <v>metric ton</v>
          </cell>
        </row>
        <row r="17">
          <cell r="B17" t="str">
            <v>g</v>
          </cell>
          <cell r="C17">
            <v>1</v>
          </cell>
          <cell r="D17">
            <v>1E-3</v>
          </cell>
          <cell r="E17">
            <v>3.5274E-2</v>
          </cell>
          <cell r="F17">
            <v>2.2049999999999999E-3</v>
          </cell>
          <cell r="G17">
            <v>9.9999999999999995E-7</v>
          </cell>
        </row>
        <row r="18">
          <cell r="B18" t="str">
            <v>kg</v>
          </cell>
          <cell r="C18">
            <v>1000</v>
          </cell>
          <cell r="D18">
            <v>1</v>
          </cell>
          <cell r="E18">
            <v>35.274000000000001</v>
          </cell>
          <cell r="F18">
            <v>2.2050000000000001</v>
          </cell>
          <cell r="G18">
            <v>1E-3</v>
          </cell>
        </row>
        <row r="19">
          <cell r="B19" t="str">
            <v>oz</v>
          </cell>
          <cell r="C19">
            <v>28.349523000000001</v>
          </cell>
          <cell r="D19">
            <v>2.835E-2</v>
          </cell>
          <cell r="E19">
            <v>1</v>
          </cell>
          <cell r="F19">
            <v>6.25E-2</v>
          </cell>
          <cell r="G19">
            <v>2.8E-5</v>
          </cell>
        </row>
        <row r="20">
          <cell r="B20" t="str">
            <v>lb</v>
          </cell>
          <cell r="C20">
            <v>453.59237000000002</v>
          </cell>
          <cell r="D20">
            <v>0.453592</v>
          </cell>
          <cell r="E20">
            <v>16</v>
          </cell>
          <cell r="F20">
            <v>1</v>
          </cell>
          <cell r="G20">
            <v>4.5399999999999998E-4</v>
          </cell>
        </row>
        <row r="21">
          <cell r="B21" t="str">
            <v>metric ton</v>
          </cell>
          <cell r="C21">
            <v>1000000</v>
          </cell>
          <cell r="D21">
            <v>1000</v>
          </cell>
          <cell r="E21">
            <v>35274</v>
          </cell>
          <cell r="F21">
            <v>2205</v>
          </cell>
          <cell r="G21">
            <v>1</v>
          </cell>
        </row>
      </sheetData>
      <sheetData sheetId="18">
        <row r="7">
          <cell r="D7">
            <v>1</v>
          </cell>
        </row>
        <row r="8">
          <cell r="D8">
            <v>27</v>
          </cell>
        </row>
        <row r="9">
          <cell r="D9">
            <v>273</v>
          </cell>
          <cell r="P9" t="str">
            <v xml:space="preserve">원유(Crude oil) </v>
          </cell>
          <cell r="Q9" t="str">
            <v>원유</v>
          </cell>
          <cell r="R9">
            <v>42.3</v>
          </cell>
          <cell r="S9">
            <v>73300</v>
          </cell>
          <cell r="T9">
            <v>3</v>
          </cell>
          <cell r="U9">
            <v>3</v>
          </cell>
          <cell r="V9">
            <v>10</v>
          </cell>
          <cell r="W9">
            <v>10</v>
          </cell>
          <cell r="X9">
            <v>0.6</v>
          </cell>
          <cell r="Y9">
            <v>0.6</v>
          </cell>
        </row>
        <row r="10">
          <cell r="B10" t="str">
            <v>HCFC-22</v>
          </cell>
          <cell r="C10" t="str">
            <v>Hydrochlorofluorocarbon-22</v>
          </cell>
          <cell r="D10">
            <v>1960</v>
          </cell>
          <cell r="P10" t="str">
            <v>오리멀전(Orimulsion)</v>
          </cell>
          <cell r="Q10" t="str">
            <v>-</v>
          </cell>
          <cell r="R10">
            <v>27.5</v>
          </cell>
          <cell r="S10">
            <v>77000</v>
          </cell>
          <cell r="T10">
            <v>3</v>
          </cell>
          <cell r="U10">
            <v>3</v>
          </cell>
          <cell r="V10">
            <v>10</v>
          </cell>
          <cell r="W10">
            <v>10</v>
          </cell>
          <cell r="X10">
            <v>0.6</v>
          </cell>
          <cell r="Y10">
            <v>0.6</v>
          </cell>
        </row>
        <row r="11">
          <cell r="B11" t="str">
            <v>CFC-11</v>
          </cell>
          <cell r="C11" t="str">
            <v>Chlorofluorocarbon-11</v>
          </cell>
          <cell r="D11">
            <v>6230</v>
          </cell>
          <cell r="P11" t="str">
            <v xml:space="preserve">액성 천연가스(Natural Gas Liquids) </v>
          </cell>
          <cell r="Q11" t="str">
            <v>-</v>
          </cell>
          <cell r="R11">
            <v>44.2</v>
          </cell>
          <cell r="S11">
            <v>64200</v>
          </cell>
          <cell r="T11">
            <v>3</v>
          </cell>
          <cell r="U11">
            <v>3</v>
          </cell>
          <cell r="V11">
            <v>10</v>
          </cell>
          <cell r="W11">
            <v>10</v>
          </cell>
          <cell r="X11">
            <v>0.6</v>
          </cell>
          <cell r="Y11">
            <v>0.6</v>
          </cell>
        </row>
        <row r="12">
          <cell r="B12" t="str">
            <v>HFC-125</v>
          </cell>
          <cell r="C12" t="str">
            <v>Hydrochlorofluorocarbon-125</v>
          </cell>
          <cell r="D12">
            <v>3740</v>
          </cell>
          <cell r="P12" t="str">
            <v>Automotive gasoline (petrol)</v>
          </cell>
          <cell r="Q12" t="str">
            <v>휘발유</v>
          </cell>
          <cell r="R12">
            <v>44.3</v>
          </cell>
          <cell r="S12">
            <v>69300</v>
          </cell>
          <cell r="T12">
            <v>3</v>
          </cell>
          <cell r="U12">
            <v>3</v>
          </cell>
          <cell r="V12">
            <v>10</v>
          </cell>
          <cell r="W12">
            <v>10</v>
          </cell>
          <cell r="X12">
            <v>0.6</v>
          </cell>
          <cell r="Y12">
            <v>0.6</v>
          </cell>
        </row>
        <row r="13">
          <cell r="B13" t="str">
            <v>HFC-410A</v>
          </cell>
          <cell r="C13" t="str">
            <v>Hydrofluorocarbon-410A</v>
          </cell>
          <cell r="D13">
            <v>2255.5</v>
          </cell>
          <cell r="P13" t="str">
            <v>Aviation gasoline</v>
          </cell>
          <cell r="Q13" t="str">
            <v>-</v>
          </cell>
          <cell r="R13">
            <v>44.3</v>
          </cell>
          <cell r="S13">
            <v>70000</v>
          </cell>
          <cell r="T13">
            <v>3</v>
          </cell>
          <cell r="U13">
            <v>3</v>
          </cell>
          <cell r="V13">
            <v>10</v>
          </cell>
          <cell r="W13">
            <v>10</v>
          </cell>
          <cell r="X13">
            <v>0.6</v>
          </cell>
          <cell r="Y13">
            <v>0.6</v>
          </cell>
        </row>
        <row r="14">
          <cell r="B14" t="str">
            <v>HFC-32</v>
          </cell>
          <cell r="C14" t="str">
            <v>Hydrofluorocarbon-32</v>
          </cell>
          <cell r="D14">
            <v>771</v>
          </cell>
          <cell r="P14" t="str">
            <v>Jet gasoline</v>
          </cell>
          <cell r="Q14" t="str">
            <v>-</v>
          </cell>
          <cell r="R14">
            <v>44.3</v>
          </cell>
          <cell r="S14">
            <v>70000</v>
          </cell>
          <cell r="T14">
            <v>3</v>
          </cell>
          <cell r="U14">
            <v>3</v>
          </cell>
          <cell r="V14">
            <v>10</v>
          </cell>
          <cell r="W14">
            <v>10</v>
          </cell>
          <cell r="X14">
            <v>0.6</v>
          </cell>
          <cell r="Y14">
            <v>0.6</v>
          </cell>
        </row>
        <row r="15">
          <cell r="P15" t="str">
            <v>Jet kerosene</v>
          </cell>
          <cell r="Q15" t="str">
            <v>JET A-1, JP-8</v>
          </cell>
          <cell r="R15">
            <v>44.1</v>
          </cell>
          <cell r="S15">
            <v>71500</v>
          </cell>
          <cell r="T15">
            <v>3</v>
          </cell>
          <cell r="U15">
            <v>3</v>
          </cell>
          <cell r="V15">
            <v>10</v>
          </cell>
          <cell r="W15">
            <v>10</v>
          </cell>
          <cell r="X15">
            <v>0.6</v>
          </cell>
          <cell r="Y15">
            <v>0.6</v>
          </cell>
        </row>
        <row r="16">
          <cell r="P16" t="str">
            <v>Other kerosene</v>
          </cell>
          <cell r="Q16" t="str">
            <v>등유</v>
          </cell>
          <cell r="R16">
            <v>43.8</v>
          </cell>
          <cell r="S16">
            <v>71900</v>
          </cell>
          <cell r="T16">
            <v>3</v>
          </cell>
          <cell r="U16">
            <v>3</v>
          </cell>
          <cell r="V16">
            <v>10</v>
          </cell>
          <cell r="W16">
            <v>10</v>
          </cell>
          <cell r="X16">
            <v>0.6</v>
          </cell>
          <cell r="Y16">
            <v>0.6</v>
          </cell>
        </row>
        <row r="17">
          <cell r="P17" t="str">
            <v xml:space="preserve">혈암유(Shale oil) </v>
          </cell>
          <cell r="Q17" t="str">
            <v>-</v>
          </cell>
          <cell r="R17">
            <v>38.1</v>
          </cell>
          <cell r="S17">
            <v>73300</v>
          </cell>
          <cell r="T17">
            <v>3</v>
          </cell>
          <cell r="U17">
            <v>3</v>
          </cell>
          <cell r="V17">
            <v>10</v>
          </cell>
          <cell r="W17">
            <v>10</v>
          </cell>
          <cell r="X17">
            <v>0.6</v>
          </cell>
          <cell r="Y17">
            <v>0.6</v>
          </cell>
        </row>
        <row r="18">
          <cell r="P18" t="str">
            <v>Gas / Diesel oil</v>
          </cell>
          <cell r="Q18" t="str">
            <v>경유</v>
          </cell>
          <cell r="R18">
            <v>43</v>
          </cell>
          <cell r="S18">
            <v>74100</v>
          </cell>
          <cell r="T18">
            <v>3</v>
          </cell>
          <cell r="U18">
            <v>3</v>
          </cell>
          <cell r="V18">
            <v>10</v>
          </cell>
          <cell r="W18">
            <v>10</v>
          </cell>
          <cell r="X18">
            <v>0.6</v>
          </cell>
          <cell r="Y18">
            <v>0.6</v>
          </cell>
        </row>
        <row r="19">
          <cell r="P19" t="str">
            <v>B-A oil</v>
          </cell>
          <cell r="Q19" t="str">
            <v>B-A유</v>
          </cell>
          <cell r="R19">
            <v>42.2</v>
          </cell>
          <cell r="S19">
            <v>75100</v>
          </cell>
          <cell r="T19">
            <v>3</v>
          </cell>
          <cell r="U19">
            <v>3</v>
          </cell>
          <cell r="V19">
            <v>10</v>
          </cell>
          <cell r="W19">
            <v>10</v>
          </cell>
          <cell r="X19">
            <v>0.6</v>
          </cell>
          <cell r="Y19">
            <v>0.6</v>
          </cell>
        </row>
        <row r="20">
          <cell r="P20" t="str">
            <v>B-B oil</v>
          </cell>
          <cell r="Q20" t="str">
            <v>B-B유</v>
          </cell>
          <cell r="R20">
            <v>41.2</v>
          </cell>
          <cell r="S20">
            <v>76400</v>
          </cell>
          <cell r="T20">
            <v>3</v>
          </cell>
          <cell r="U20">
            <v>3</v>
          </cell>
          <cell r="V20">
            <v>10</v>
          </cell>
          <cell r="W20">
            <v>10</v>
          </cell>
          <cell r="X20">
            <v>0.6</v>
          </cell>
          <cell r="Y20">
            <v>0.6</v>
          </cell>
        </row>
        <row r="21">
          <cell r="P21" t="str">
            <v>B-C oil</v>
          </cell>
          <cell r="Q21" t="str">
            <v>B-C유</v>
          </cell>
          <cell r="R21">
            <v>40.4</v>
          </cell>
          <cell r="S21">
            <v>77400</v>
          </cell>
          <cell r="T21">
            <v>3</v>
          </cell>
          <cell r="U21">
            <v>3</v>
          </cell>
          <cell r="V21">
            <v>10</v>
          </cell>
          <cell r="W21">
            <v>10</v>
          </cell>
          <cell r="X21">
            <v>0.6</v>
          </cell>
          <cell r="Y21">
            <v>0.6</v>
          </cell>
        </row>
        <row r="22">
          <cell r="P22" t="str">
            <v>Liquefied Petroleum Gas (LPG)</v>
          </cell>
          <cell r="Q22" t="str">
            <v>LPG</v>
          </cell>
          <cell r="R22">
            <v>47.3</v>
          </cell>
          <cell r="S22">
            <v>63100</v>
          </cell>
          <cell r="T22">
            <v>1</v>
          </cell>
          <cell r="U22">
            <v>1</v>
          </cell>
          <cell r="V22">
            <v>5</v>
          </cell>
          <cell r="W22">
            <v>5</v>
          </cell>
          <cell r="X22">
            <v>0.1</v>
          </cell>
          <cell r="Y22">
            <v>0.1</v>
          </cell>
        </row>
        <row r="23">
          <cell r="P23" t="str">
            <v>Ethane</v>
          </cell>
          <cell r="Q23" t="str">
            <v>-</v>
          </cell>
          <cell r="R23">
            <v>46.4</v>
          </cell>
          <cell r="S23">
            <v>61600</v>
          </cell>
          <cell r="T23">
            <v>1</v>
          </cell>
          <cell r="U23">
            <v>1</v>
          </cell>
          <cell r="V23">
            <v>5</v>
          </cell>
          <cell r="W23">
            <v>5</v>
          </cell>
          <cell r="X23">
            <v>0.1</v>
          </cell>
          <cell r="Y23">
            <v>0.1</v>
          </cell>
        </row>
        <row r="24">
          <cell r="P24" t="str">
            <v>Naphtha</v>
          </cell>
          <cell r="Q24" t="str">
            <v>납사</v>
          </cell>
          <cell r="R24">
            <v>44.5</v>
          </cell>
          <cell r="S24">
            <v>73300</v>
          </cell>
          <cell r="T24">
            <v>3</v>
          </cell>
          <cell r="U24">
            <v>3</v>
          </cell>
          <cell r="V24">
            <v>10</v>
          </cell>
          <cell r="W24">
            <v>10</v>
          </cell>
          <cell r="X24">
            <v>0.6</v>
          </cell>
          <cell r="Y24">
            <v>0.6</v>
          </cell>
        </row>
        <row r="25">
          <cell r="P25" t="str">
            <v>Bitumen (Asphalt)</v>
          </cell>
          <cell r="Q25" t="str">
            <v>아스팔트</v>
          </cell>
          <cell r="R25">
            <v>40.200000000000003</v>
          </cell>
          <cell r="S25">
            <v>80700</v>
          </cell>
          <cell r="T25">
            <v>3</v>
          </cell>
          <cell r="U25">
            <v>3</v>
          </cell>
          <cell r="V25">
            <v>10</v>
          </cell>
          <cell r="W25">
            <v>10</v>
          </cell>
          <cell r="X25">
            <v>0.6</v>
          </cell>
          <cell r="Y25">
            <v>0.6</v>
          </cell>
        </row>
        <row r="26">
          <cell r="P26" t="str">
            <v>Lubricating oil</v>
          </cell>
          <cell r="Q26" t="str">
            <v>윤활유</v>
          </cell>
          <cell r="R26">
            <v>40.200000000000003</v>
          </cell>
          <cell r="S26">
            <v>73300</v>
          </cell>
          <cell r="T26">
            <v>3</v>
          </cell>
          <cell r="U26">
            <v>3</v>
          </cell>
          <cell r="V26">
            <v>10</v>
          </cell>
          <cell r="W26">
            <v>10</v>
          </cell>
          <cell r="X26">
            <v>0.6</v>
          </cell>
          <cell r="Y26">
            <v>0.6</v>
          </cell>
        </row>
        <row r="27">
          <cell r="P27" t="str">
            <v>석유 코크스(Petroleum Coke)</v>
          </cell>
          <cell r="Q27" t="str">
            <v>석유코크스(고체)</v>
          </cell>
          <cell r="R27">
            <v>32.5</v>
          </cell>
          <cell r="S27">
            <v>97500</v>
          </cell>
          <cell r="T27">
            <v>3</v>
          </cell>
          <cell r="U27">
            <v>3</v>
          </cell>
          <cell r="V27">
            <v>10</v>
          </cell>
          <cell r="W27">
            <v>10</v>
          </cell>
          <cell r="X27">
            <v>0.6</v>
          </cell>
          <cell r="Y27">
            <v>0.6</v>
          </cell>
        </row>
        <row r="28">
          <cell r="P28" t="str">
            <v xml:space="preserve">정제 원료(Refinery Feedstocks) </v>
          </cell>
          <cell r="Q28" t="str">
            <v>정제 원료</v>
          </cell>
          <cell r="R28">
            <v>43</v>
          </cell>
          <cell r="S28">
            <v>73300</v>
          </cell>
          <cell r="T28">
            <v>3</v>
          </cell>
          <cell r="U28">
            <v>3</v>
          </cell>
          <cell r="V28">
            <v>10</v>
          </cell>
          <cell r="W28">
            <v>10</v>
          </cell>
          <cell r="X28">
            <v>0.6</v>
          </cell>
          <cell r="Y28">
            <v>0.6</v>
          </cell>
        </row>
        <row r="29">
          <cell r="P29" t="str">
            <v xml:space="preserve">정유가스(Refinery Gas) </v>
          </cell>
          <cell r="Q29" t="str">
            <v>정제가스</v>
          </cell>
          <cell r="R29">
            <v>49.5</v>
          </cell>
          <cell r="S29">
            <v>57600</v>
          </cell>
          <cell r="T29">
            <v>1</v>
          </cell>
          <cell r="U29">
            <v>1</v>
          </cell>
          <cell r="V29">
            <v>5</v>
          </cell>
          <cell r="W29">
            <v>5</v>
          </cell>
          <cell r="X29">
            <v>0.1</v>
          </cell>
          <cell r="Y29">
            <v>0.1</v>
          </cell>
        </row>
        <row r="30">
          <cell r="P30" t="str">
            <v>파라핀 왁스(Waxes)</v>
          </cell>
          <cell r="Q30" t="str">
            <v>파라핀왁스</v>
          </cell>
          <cell r="R30">
            <v>40.200000000000003</v>
          </cell>
          <cell r="S30">
            <v>73300</v>
          </cell>
          <cell r="T30">
            <v>3</v>
          </cell>
          <cell r="U30">
            <v>3</v>
          </cell>
          <cell r="V30">
            <v>10</v>
          </cell>
          <cell r="W30">
            <v>10</v>
          </cell>
          <cell r="X30">
            <v>0.6</v>
          </cell>
          <cell r="Y30">
            <v>0.6</v>
          </cell>
        </row>
        <row r="31">
          <cell r="P31" t="str">
            <v>백유(White Spirit)</v>
          </cell>
          <cell r="Q31" t="str">
            <v>용제</v>
          </cell>
          <cell r="R31">
            <v>40.200000000000003</v>
          </cell>
          <cell r="S31">
            <v>73300</v>
          </cell>
          <cell r="T31">
            <v>3</v>
          </cell>
          <cell r="U31">
            <v>3</v>
          </cell>
          <cell r="V31">
            <v>10</v>
          </cell>
          <cell r="W31">
            <v>10</v>
          </cell>
          <cell r="X31">
            <v>0.6</v>
          </cell>
          <cell r="Y31">
            <v>0.6</v>
          </cell>
        </row>
        <row r="32">
          <cell r="P32" t="str">
            <v>기타석유제품(Other Petroleum Products)</v>
          </cell>
          <cell r="Q32" t="str">
            <v>재생유(WDF)</v>
          </cell>
          <cell r="R32">
            <v>40.200000000000003</v>
          </cell>
          <cell r="S32">
            <v>73300</v>
          </cell>
          <cell r="T32">
            <v>3</v>
          </cell>
          <cell r="U32">
            <v>3</v>
          </cell>
          <cell r="V32">
            <v>10</v>
          </cell>
          <cell r="W32">
            <v>10</v>
          </cell>
          <cell r="X32">
            <v>0.6</v>
          </cell>
          <cell r="Y32">
            <v>0.6</v>
          </cell>
        </row>
        <row r="33">
          <cell r="P33" t="str">
            <v xml:space="preserve">무연탄(Anthracite) </v>
          </cell>
          <cell r="Q33" t="str">
            <v>국내 무연탄</v>
          </cell>
          <cell r="R33">
            <v>26.7</v>
          </cell>
          <cell r="S33">
            <v>98300</v>
          </cell>
          <cell r="T33">
            <v>1</v>
          </cell>
          <cell r="U33">
            <v>10</v>
          </cell>
          <cell r="V33">
            <v>10</v>
          </cell>
          <cell r="W33">
            <v>300</v>
          </cell>
          <cell r="X33">
            <v>1.5</v>
          </cell>
          <cell r="Y33">
            <v>1.5</v>
          </cell>
        </row>
        <row r="34">
          <cell r="P34" t="str">
            <v>점결탄(Coking Coal)</v>
          </cell>
          <cell r="Q34" t="str">
            <v>원료용 유연탄</v>
          </cell>
          <cell r="R34">
            <v>28.2</v>
          </cell>
          <cell r="S34">
            <v>94600</v>
          </cell>
          <cell r="T34">
            <v>1</v>
          </cell>
          <cell r="U34">
            <v>10</v>
          </cell>
          <cell r="V34">
            <v>10</v>
          </cell>
          <cell r="W34">
            <v>300</v>
          </cell>
          <cell r="X34">
            <v>1.5</v>
          </cell>
          <cell r="Y34">
            <v>1.5</v>
          </cell>
        </row>
        <row r="35">
          <cell r="P35" t="str">
            <v xml:space="preserve">기타 역청탄(Other Bituminous Coal) </v>
          </cell>
          <cell r="Q35" t="str">
            <v>연료용 유연탄</v>
          </cell>
          <cell r="R35">
            <v>25.8</v>
          </cell>
          <cell r="S35">
            <v>94600</v>
          </cell>
          <cell r="T35">
            <v>1</v>
          </cell>
          <cell r="U35">
            <v>10</v>
          </cell>
          <cell r="V35">
            <v>10</v>
          </cell>
          <cell r="W35">
            <v>300</v>
          </cell>
          <cell r="X35">
            <v>1.5</v>
          </cell>
          <cell r="Y35">
            <v>1.5</v>
          </cell>
        </row>
        <row r="36">
          <cell r="P36" t="str">
            <v xml:space="preserve">하위 역청탄(Sub-Bituminous Coal) </v>
          </cell>
          <cell r="Q36" t="str">
            <v>아역청탄</v>
          </cell>
          <cell r="R36">
            <v>18.899999999999999</v>
          </cell>
          <cell r="S36">
            <v>96100</v>
          </cell>
          <cell r="T36">
            <v>1</v>
          </cell>
          <cell r="U36">
            <v>10</v>
          </cell>
          <cell r="V36">
            <v>10</v>
          </cell>
          <cell r="W36">
            <v>300</v>
          </cell>
          <cell r="X36">
            <v>1.5</v>
          </cell>
          <cell r="Y36">
            <v>1.5</v>
          </cell>
        </row>
        <row r="37">
          <cell r="P37" t="str">
            <v>갈탄(Lignite)</v>
          </cell>
          <cell r="Q37" t="str">
            <v>갈탄</v>
          </cell>
          <cell r="R37">
            <v>11.9</v>
          </cell>
          <cell r="S37">
            <v>101000</v>
          </cell>
          <cell r="T37">
            <v>1</v>
          </cell>
          <cell r="U37">
            <v>10</v>
          </cell>
          <cell r="V37">
            <v>10</v>
          </cell>
          <cell r="W37">
            <v>300</v>
          </cell>
          <cell r="X37">
            <v>1.5</v>
          </cell>
          <cell r="Y37">
            <v>1.5</v>
          </cell>
        </row>
        <row r="38">
          <cell r="P38" t="str">
            <v>Oil Shale &amp; Tar Sands</v>
          </cell>
          <cell r="Q38" t="str">
            <v>-</v>
          </cell>
          <cell r="R38">
            <v>8.9</v>
          </cell>
          <cell r="S38">
            <v>107000</v>
          </cell>
          <cell r="T38">
            <v>1</v>
          </cell>
          <cell r="U38">
            <v>10</v>
          </cell>
          <cell r="V38">
            <v>10</v>
          </cell>
          <cell r="W38">
            <v>300</v>
          </cell>
          <cell r="X38">
            <v>1.5</v>
          </cell>
          <cell r="Y38">
            <v>1.5</v>
          </cell>
        </row>
        <row r="39">
          <cell r="P39" t="str">
            <v>갈탄 연탄 (Brown Coal Briquettes)</v>
          </cell>
          <cell r="Q39" t="str">
            <v>-</v>
          </cell>
          <cell r="R39">
            <v>20.7</v>
          </cell>
          <cell r="S39">
            <v>97500</v>
          </cell>
          <cell r="T39">
            <v>1</v>
          </cell>
          <cell r="U39">
            <v>10</v>
          </cell>
          <cell r="V39">
            <v>10</v>
          </cell>
          <cell r="W39">
            <v>300</v>
          </cell>
          <cell r="X39">
            <v>1.5</v>
          </cell>
          <cell r="Y39">
            <v>1.5</v>
          </cell>
        </row>
        <row r="40">
          <cell r="P40" t="str">
            <v xml:space="preserve">특허연료(Patent Fuel) </v>
          </cell>
          <cell r="Q40" t="str">
            <v>-</v>
          </cell>
          <cell r="R40">
            <v>20.7</v>
          </cell>
          <cell r="S40">
            <v>97500</v>
          </cell>
          <cell r="T40">
            <v>1</v>
          </cell>
          <cell r="U40">
            <v>10</v>
          </cell>
          <cell r="V40">
            <v>10</v>
          </cell>
          <cell r="W40">
            <v>300</v>
          </cell>
          <cell r="X40">
            <v>1.5</v>
          </cell>
          <cell r="Y40">
            <v>1.5</v>
          </cell>
        </row>
        <row r="41">
          <cell r="P41" t="str">
            <v xml:space="preserve">코크스로(석탄)(Coke Oven Coke) </v>
          </cell>
          <cell r="Q41" t="str">
            <v>코크스(석탄)</v>
          </cell>
          <cell r="R41">
            <v>28.2</v>
          </cell>
          <cell r="S41">
            <v>107000</v>
          </cell>
          <cell r="T41">
            <v>1</v>
          </cell>
          <cell r="U41">
            <v>10</v>
          </cell>
          <cell r="V41">
            <v>10</v>
          </cell>
          <cell r="W41">
            <v>300</v>
          </cell>
          <cell r="X41">
            <v>1.5</v>
          </cell>
          <cell r="Y41">
            <v>1.5</v>
          </cell>
        </row>
        <row r="42">
          <cell r="P42" t="str">
            <v>가스 코크스(가스공장 코크스)(Gas Coke)</v>
          </cell>
          <cell r="Q42" t="str">
            <v>가스공장 코크스</v>
          </cell>
          <cell r="R42">
            <v>28.2</v>
          </cell>
          <cell r="S42">
            <v>107000</v>
          </cell>
          <cell r="T42">
            <v>1</v>
          </cell>
          <cell r="U42">
            <v>1</v>
          </cell>
          <cell r="V42">
            <v>5</v>
          </cell>
          <cell r="W42">
            <v>5</v>
          </cell>
          <cell r="X42">
            <v>0.1</v>
          </cell>
          <cell r="Y42">
            <v>0.1</v>
          </cell>
        </row>
        <row r="43">
          <cell r="P43" t="str">
            <v>콜타르(Coal Tar)</v>
          </cell>
          <cell r="Q43" t="str">
            <v>-</v>
          </cell>
          <cell r="R43">
            <v>28</v>
          </cell>
          <cell r="S43">
            <v>80700</v>
          </cell>
          <cell r="T43">
            <v>1</v>
          </cell>
          <cell r="U43">
            <v>10</v>
          </cell>
          <cell r="V43">
            <v>10</v>
          </cell>
          <cell r="W43">
            <v>300</v>
          </cell>
          <cell r="X43">
            <v>1.5</v>
          </cell>
          <cell r="Y43">
            <v>1.5</v>
          </cell>
        </row>
        <row r="44">
          <cell r="P44" t="str">
            <v>가스공장 가스(Gas Works Gas)</v>
          </cell>
          <cell r="Q44" t="str">
            <v>-</v>
          </cell>
          <cell r="R44">
            <v>38.700000000000003</v>
          </cell>
          <cell r="S44">
            <v>44400</v>
          </cell>
          <cell r="T44">
            <v>1</v>
          </cell>
          <cell r="U44">
            <v>1</v>
          </cell>
          <cell r="V44">
            <v>5</v>
          </cell>
          <cell r="W44">
            <v>5</v>
          </cell>
          <cell r="X44">
            <v>0.1</v>
          </cell>
          <cell r="Y44">
            <v>0.1</v>
          </cell>
        </row>
        <row r="45">
          <cell r="P45" t="str">
            <v>코크스로 가스(Coke Oven Gas)</v>
          </cell>
          <cell r="Q45" t="str">
            <v>코크스가스</v>
          </cell>
          <cell r="R45">
            <v>38.700000000000003</v>
          </cell>
          <cell r="S45">
            <v>44400</v>
          </cell>
          <cell r="T45">
            <v>1</v>
          </cell>
          <cell r="U45">
            <v>1</v>
          </cell>
          <cell r="V45">
            <v>5</v>
          </cell>
          <cell r="W45">
            <v>5</v>
          </cell>
          <cell r="X45">
            <v>0.1</v>
          </cell>
          <cell r="Y45">
            <v>0.1</v>
          </cell>
        </row>
        <row r="46">
          <cell r="P46" t="str">
            <v xml:space="preserve">고로 가스(Blast Furnace Gas) </v>
          </cell>
          <cell r="Q46" t="str">
            <v>고로가스</v>
          </cell>
          <cell r="R46">
            <v>2.4700000000000002</v>
          </cell>
          <cell r="S46">
            <v>260000</v>
          </cell>
          <cell r="T46">
            <v>1</v>
          </cell>
          <cell r="U46">
            <v>1</v>
          </cell>
          <cell r="V46">
            <v>5</v>
          </cell>
          <cell r="W46">
            <v>5</v>
          </cell>
          <cell r="X46">
            <v>0.1</v>
          </cell>
          <cell r="Y46">
            <v>0.1</v>
          </cell>
        </row>
        <row r="47">
          <cell r="P47" t="str">
            <v>산소 강철로 가스(Oxygen Steel Furnace Gas)</v>
          </cell>
          <cell r="Q47" t="str">
            <v>전로가스</v>
          </cell>
          <cell r="R47">
            <v>7.06</v>
          </cell>
          <cell r="S47">
            <v>182000</v>
          </cell>
          <cell r="T47">
            <v>1</v>
          </cell>
          <cell r="U47">
            <v>1</v>
          </cell>
          <cell r="V47">
            <v>5</v>
          </cell>
          <cell r="W47">
            <v>5</v>
          </cell>
          <cell r="X47">
            <v>0.1</v>
          </cell>
          <cell r="Y47">
            <v>0.1</v>
          </cell>
        </row>
        <row r="48">
          <cell r="P48" t="str">
            <v>천연가스(LNG)</v>
          </cell>
          <cell r="Q48" t="str">
            <v>천연가스(LNG)</v>
          </cell>
          <cell r="R48">
            <v>48</v>
          </cell>
          <cell r="S48">
            <v>56100</v>
          </cell>
          <cell r="T48">
            <v>1</v>
          </cell>
          <cell r="U48">
            <v>1</v>
          </cell>
          <cell r="V48">
            <v>5</v>
          </cell>
          <cell r="W48">
            <v>5</v>
          </cell>
          <cell r="X48">
            <v>0.1</v>
          </cell>
          <cell r="Y48">
            <v>0.1</v>
          </cell>
        </row>
        <row r="49">
          <cell r="P49" t="str">
            <v>도시 폐기물(non-bio)</v>
          </cell>
          <cell r="Q49" t="str">
            <v>-</v>
          </cell>
          <cell r="R49">
            <v>10</v>
          </cell>
          <cell r="S49">
            <v>91700</v>
          </cell>
          <cell r="T49">
            <v>30</v>
          </cell>
          <cell r="U49">
            <v>30</v>
          </cell>
          <cell r="V49">
            <v>300</v>
          </cell>
          <cell r="W49">
            <v>300</v>
          </cell>
          <cell r="X49">
            <v>4</v>
          </cell>
          <cell r="Y49">
            <v>4</v>
          </cell>
        </row>
        <row r="50">
          <cell r="P50" t="str">
            <v>Industrial Wastes</v>
          </cell>
          <cell r="Q50" t="str">
            <v>-</v>
          </cell>
          <cell r="R50" t="str">
            <v>-</v>
          </cell>
          <cell r="S50">
            <v>143000</v>
          </cell>
          <cell r="T50">
            <v>30</v>
          </cell>
          <cell r="U50">
            <v>30</v>
          </cell>
          <cell r="V50">
            <v>300</v>
          </cell>
          <cell r="W50">
            <v>300</v>
          </cell>
          <cell r="X50">
            <v>4</v>
          </cell>
          <cell r="Y50">
            <v>4</v>
          </cell>
        </row>
        <row r="51">
          <cell r="P51" t="str">
            <v xml:space="preserve">폐유(Waste Oil) </v>
          </cell>
          <cell r="Q51" t="str">
            <v>-</v>
          </cell>
          <cell r="R51">
            <v>40.200000000000003</v>
          </cell>
          <cell r="S51">
            <v>73300</v>
          </cell>
          <cell r="T51">
            <v>30</v>
          </cell>
          <cell r="U51">
            <v>30</v>
          </cell>
          <cell r="V51">
            <v>300</v>
          </cell>
          <cell r="W51">
            <v>300</v>
          </cell>
          <cell r="X51">
            <v>4</v>
          </cell>
          <cell r="Y51">
            <v>4</v>
          </cell>
        </row>
        <row r="52">
          <cell r="P52" t="str">
            <v>토탄(Peat) :</v>
          </cell>
          <cell r="Q52" t="str">
            <v>이탄</v>
          </cell>
          <cell r="R52">
            <v>9.76</v>
          </cell>
          <cell r="S52">
            <v>106000</v>
          </cell>
          <cell r="T52">
            <v>1</v>
          </cell>
          <cell r="U52">
            <v>2</v>
          </cell>
          <cell r="V52">
            <v>10</v>
          </cell>
          <cell r="W52">
            <v>300</v>
          </cell>
          <cell r="X52">
            <v>1.5</v>
          </cell>
          <cell r="Y52">
            <v>1.4</v>
          </cell>
        </row>
        <row r="53">
          <cell r="P53" t="str">
            <v>목재/목재 폐기물(Wood/Wood Waste) :</v>
          </cell>
          <cell r="Q53" t="str">
            <v>-</v>
          </cell>
          <cell r="R53">
            <v>15.6</v>
          </cell>
          <cell r="S53">
            <v>112000</v>
          </cell>
          <cell r="T53">
            <v>30</v>
          </cell>
          <cell r="U53">
            <v>30</v>
          </cell>
          <cell r="V53">
            <v>300</v>
          </cell>
          <cell r="W53">
            <v>300</v>
          </cell>
          <cell r="X53">
            <v>4</v>
          </cell>
          <cell r="Y53">
            <v>4</v>
          </cell>
        </row>
        <row r="54">
          <cell r="P54" t="str">
            <v>아황산염 잿물(Sulphite Lyes) :</v>
          </cell>
          <cell r="Q54" t="str">
            <v>-</v>
          </cell>
          <cell r="R54">
            <v>11.8</v>
          </cell>
          <cell r="S54">
            <v>95300</v>
          </cell>
          <cell r="T54">
            <v>3</v>
          </cell>
          <cell r="U54">
            <v>3</v>
          </cell>
          <cell r="V54">
            <v>3</v>
          </cell>
          <cell r="W54">
            <v>3</v>
          </cell>
          <cell r="X54">
            <v>2</v>
          </cell>
          <cell r="Y54">
            <v>2</v>
          </cell>
        </row>
        <row r="55">
          <cell r="P55" t="str">
            <v>기타 고체바이오매스</v>
          </cell>
          <cell r="Q55" t="str">
            <v>-</v>
          </cell>
          <cell r="R55">
            <v>11.6</v>
          </cell>
          <cell r="S55">
            <v>100000</v>
          </cell>
          <cell r="T55">
            <v>30</v>
          </cell>
          <cell r="U55">
            <v>30</v>
          </cell>
          <cell r="V55">
            <v>300</v>
          </cell>
          <cell r="W55">
            <v>300</v>
          </cell>
          <cell r="X55">
            <v>4</v>
          </cell>
          <cell r="Y55">
            <v>4</v>
          </cell>
        </row>
        <row r="56">
          <cell r="P56" t="str">
            <v>목탄(Charcoal)</v>
          </cell>
          <cell r="Q56" t="str">
            <v>-</v>
          </cell>
          <cell r="R56">
            <v>29.5</v>
          </cell>
          <cell r="S56">
            <v>112000</v>
          </cell>
          <cell r="T56">
            <v>200</v>
          </cell>
          <cell r="U56">
            <v>200</v>
          </cell>
          <cell r="V56">
            <v>200</v>
          </cell>
          <cell r="W56">
            <v>200</v>
          </cell>
          <cell r="X56">
            <v>4</v>
          </cell>
          <cell r="Y56">
            <v>1</v>
          </cell>
        </row>
        <row r="57">
          <cell r="P57" t="str">
            <v>바이오가솔린(Biogasoline)</v>
          </cell>
          <cell r="Q57" t="str">
            <v>-</v>
          </cell>
          <cell r="R57">
            <v>27</v>
          </cell>
          <cell r="S57">
            <v>70800</v>
          </cell>
          <cell r="T57">
            <v>3</v>
          </cell>
          <cell r="U57">
            <v>3</v>
          </cell>
          <cell r="V57">
            <v>10</v>
          </cell>
          <cell r="W57">
            <v>10</v>
          </cell>
          <cell r="X57">
            <v>0.6</v>
          </cell>
          <cell r="Y57">
            <v>0.6</v>
          </cell>
        </row>
        <row r="58">
          <cell r="P58" t="str">
            <v>Biodiesel</v>
          </cell>
          <cell r="Q58" t="str">
            <v>-</v>
          </cell>
          <cell r="R58">
            <v>27</v>
          </cell>
          <cell r="S58">
            <v>70800</v>
          </cell>
          <cell r="T58">
            <v>3</v>
          </cell>
          <cell r="U58">
            <v>3</v>
          </cell>
          <cell r="V58">
            <v>10</v>
          </cell>
          <cell r="W58">
            <v>10</v>
          </cell>
          <cell r="X58">
            <v>0.6</v>
          </cell>
          <cell r="Y58">
            <v>0.6</v>
          </cell>
        </row>
        <row r="59">
          <cell r="P59" t="str">
            <v>Other liquid biofuels</v>
          </cell>
          <cell r="Q59" t="str">
            <v>-</v>
          </cell>
          <cell r="R59">
            <v>27.4</v>
          </cell>
          <cell r="S59">
            <v>79600</v>
          </cell>
          <cell r="T59">
            <v>3</v>
          </cell>
          <cell r="U59">
            <v>3</v>
          </cell>
          <cell r="V59">
            <v>10</v>
          </cell>
          <cell r="W59">
            <v>10</v>
          </cell>
          <cell r="X59">
            <v>0.6</v>
          </cell>
          <cell r="Y59">
            <v>0.6</v>
          </cell>
        </row>
        <row r="60">
          <cell r="P60" t="str">
            <v xml:space="preserve">매립가스(Landfill gas) </v>
          </cell>
          <cell r="Q60" t="str">
            <v>-</v>
          </cell>
          <cell r="R60">
            <v>50.4</v>
          </cell>
          <cell r="S60">
            <v>54600</v>
          </cell>
          <cell r="T60">
            <v>1</v>
          </cell>
          <cell r="U60">
            <v>1</v>
          </cell>
          <cell r="V60">
            <v>5</v>
          </cell>
          <cell r="W60">
            <v>5</v>
          </cell>
          <cell r="X60">
            <v>0.1</v>
          </cell>
          <cell r="Y60">
            <v>0.1</v>
          </cell>
        </row>
        <row r="61">
          <cell r="P61" t="str">
            <v>슬러지 가스(Sludge gas)</v>
          </cell>
          <cell r="Q61" t="str">
            <v>-</v>
          </cell>
          <cell r="R61">
            <v>50.4</v>
          </cell>
          <cell r="S61">
            <v>54600</v>
          </cell>
          <cell r="T61">
            <v>1</v>
          </cell>
          <cell r="U61">
            <v>1</v>
          </cell>
          <cell r="V61">
            <v>5</v>
          </cell>
          <cell r="W61">
            <v>5</v>
          </cell>
          <cell r="X61">
            <v>0.1</v>
          </cell>
          <cell r="Y61">
            <v>0.1</v>
          </cell>
        </row>
        <row r="62">
          <cell r="P62" t="str">
            <v>Other biogas</v>
          </cell>
          <cell r="Q62" t="str">
            <v>-</v>
          </cell>
          <cell r="R62">
            <v>50.4</v>
          </cell>
          <cell r="S62">
            <v>54600</v>
          </cell>
          <cell r="T62">
            <v>1</v>
          </cell>
          <cell r="U62">
            <v>1</v>
          </cell>
          <cell r="V62">
            <v>5</v>
          </cell>
          <cell r="W62">
            <v>5</v>
          </cell>
          <cell r="X62">
            <v>0.1</v>
          </cell>
          <cell r="Y62">
            <v>0.1</v>
          </cell>
        </row>
        <row r="63">
          <cell r="P63" t="str">
            <v>Urban waste</v>
          </cell>
          <cell r="Q63" t="str">
            <v>-</v>
          </cell>
          <cell r="R63">
            <v>11.6</v>
          </cell>
          <cell r="S63">
            <v>100000</v>
          </cell>
          <cell r="T63">
            <v>30</v>
          </cell>
          <cell r="U63">
            <v>30</v>
          </cell>
          <cell r="V63">
            <v>300</v>
          </cell>
          <cell r="W63">
            <v>300</v>
          </cell>
          <cell r="X63">
            <v>4</v>
          </cell>
          <cell r="Y63">
            <v>4</v>
          </cell>
        </row>
        <row r="64">
          <cell r="O64" t="str">
            <v>Hydrofluorocarbons(HFCs)</v>
          </cell>
          <cell r="P64" t="str">
            <v>HCFC - 22</v>
          </cell>
          <cell r="R64">
            <v>0</v>
          </cell>
          <cell r="S64">
            <v>0</v>
          </cell>
        </row>
        <row r="65">
          <cell r="O65" t="str">
            <v>Hydrofluorocarbons(HFCs)</v>
          </cell>
          <cell r="P65" t="str">
            <v>HCFC - 141B</v>
          </cell>
          <cell r="R65">
            <v>1</v>
          </cell>
          <cell r="S65">
            <v>0</v>
          </cell>
        </row>
        <row r="66">
          <cell r="O66" t="str">
            <v>Hydrofluorocarbons(HFCs)</v>
          </cell>
          <cell r="P66" t="str">
            <v>HFC - 404A</v>
          </cell>
          <cell r="R66">
            <v>1</v>
          </cell>
          <cell r="S66">
            <v>3260</v>
          </cell>
        </row>
        <row r="67">
          <cell r="O67" t="str">
            <v>Hydrofluorocarbons(HFCs)</v>
          </cell>
          <cell r="P67" t="str">
            <v>HFC - 134A</v>
          </cell>
          <cell r="R67">
            <v>1</v>
          </cell>
          <cell r="S67">
            <v>1300</v>
          </cell>
        </row>
        <row r="68">
          <cell r="O68" t="str">
            <v>Hydrofluorocarbons(HFCs)</v>
          </cell>
          <cell r="P68" t="str">
            <v>HFC - 32</v>
          </cell>
          <cell r="R68">
            <v>1</v>
          </cell>
          <cell r="S68">
            <v>650</v>
          </cell>
        </row>
        <row r="69">
          <cell r="O69" t="str">
            <v>Hydrofluorocarbons(HFCs)</v>
          </cell>
          <cell r="P69" t="str">
            <v>HFC - 410A</v>
          </cell>
          <cell r="R69">
            <v>1</v>
          </cell>
          <cell r="S69">
            <v>1725</v>
          </cell>
        </row>
        <row r="70">
          <cell r="O70" t="str">
            <v>Hydrofluorocarbons(HFCs)</v>
          </cell>
          <cell r="P70" t="str">
            <v>HFC - 407C4</v>
          </cell>
          <cell r="R70">
            <v>1</v>
          </cell>
          <cell r="S70">
            <v>1525.5</v>
          </cell>
        </row>
        <row r="71">
          <cell r="O71" t="str">
            <v>육불화황</v>
          </cell>
          <cell r="P71" t="str">
            <v>육불화황(SF6)</v>
          </cell>
          <cell r="R71">
            <v>1</v>
          </cell>
          <cell r="S71">
            <v>23900</v>
          </cell>
        </row>
        <row r="72">
          <cell r="O72" t="str">
            <v>이산화탄소</v>
          </cell>
          <cell r="P72" t="str">
            <v>이산화탄소(CO2)</v>
          </cell>
          <cell r="R72">
            <v>1</v>
          </cell>
          <cell r="S72">
            <v>1</v>
          </cell>
        </row>
        <row r="73">
          <cell r="O73" t="str">
            <v>ETC</v>
          </cell>
          <cell r="P73" t="str">
            <v>R717 - Ammonia</v>
          </cell>
          <cell r="R73">
            <v>0</v>
          </cell>
          <cell r="S73">
            <v>0</v>
          </cell>
        </row>
        <row r="74">
          <cell r="O74" t="str">
            <v>연료유</v>
          </cell>
          <cell r="P74" t="str">
            <v>부생연료유1호</v>
          </cell>
          <cell r="R74">
            <v>43.8</v>
          </cell>
          <cell r="S74">
            <v>71900</v>
          </cell>
          <cell r="T74">
            <v>3</v>
          </cell>
          <cell r="U74">
            <v>3</v>
          </cell>
          <cell r="V74">
            <v>10</v>
          </cell>
          <cell r="W74">
            <v>10</v>
          </cell>
          <cell r="X74">
            <v>0.6</v>
          </cell>
          <cell r="Y74">
            <v>0.6</v>
          </cell>
        </row>
        <row r="75">
          <cell r="R75">
            <v>21.756815440289504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Facility Information"/>
      <sheetName val="Scope 1"/>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List"/>
      <sheetName val="목록"/>
    </sheetNames>
    <sheetDataSet>
      <sheetData sheetId="0" refreshError="1"/>
      <sheetData sheetId="1"/>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ummary"/>
      <sheetName val="Summary(보고서용)"/>
      <sheetName val="Team Summary"/>
      <sheetName val="Reporting"/>
      <sheetName val="Scope1_Stationary"/>
      <sheetName val="Scope1_Mobile"/>
      <sheetName val="Scope1_Process"/>
      <sheetName val="Scope1_Fugitive"/>
      <sheetName val="Scope2_Electricity"/>
      <sheetName val="Data_Stationary"/>
      <sheetName val="Data_Mobile"/>
      <sheetName val="Data_Fugitive"/>
      <sheetName val="Data_Electricity"/>
      <sheetName val="Data_Product"/>
      <sheetName val="Data_Steam"/>
      <sheetName val="Fuel_Analysis"/>
      <sheetName val="Parameter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Table"/>
      <sheetName val="내부실패"/>
      <sheetName val="Graph"/>
      <sheetName val="TDTKP"/>
      <sheetName val="DK-KH"/>
    </sheetNames>
    <sheetDataSet>
      <sheetData sheetId="0"/>
      <sheetData sheetId="1"/>
      <sheetData sheetId="2"/>
      <sheetData sheetId="3"/>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국내사업장 Scope 3 Summary"/>
      <sheetName val="1. Category 1 배출량"/>
      <sheetName val="2. Category 2 배출량"/>
      <sheetName val="3. Category 3 배출량"/>
      <sheetName val="4. Category 4 배출량"/>
      <sheetName val="5. Category 5 배출량"/>
      <sheetName val="6. Category 6 배출량"/>
      <sheetName val="7. Category 7 배출량"/>
      <sheetName val="8. Cateogry 10 배출량"/>
      <sheetName val="10. Category 12 배출량"/>
      <sheetName val="9. Category 11 배출량"/>
      <sheetName val="|→ Raw Data"/>
      <sheetName val="Raw-Data - Category 1"/>
      <sheetName val="Raw-Data - Category 2"/>
      <sheetName val="Category 2 자본재 List"/>
      <sheetName val="Cat. 2 해운구매팀 DB - 선박기부속"/>
      <sheetName val="Cat. 2 해운구매팀DB - 스크러버"/>
      <sheetName val="Cat. 2 DB - BWMS"/>
      <sheetName val="Raw-Data - Category 3"/>
      <sheetName val="Raw-Data - Category 3 선박유"/>
      <sheetName val="Cat. 4 DB - 국내하역"/>
      <sheetName val="Cat. 4 DB - 해외하역"/>
      <sheetName val="Raw-Data Category 5"/>
      <sheetName val="Raw-Data - Category 6 카 쉐어링"/>
      <sheetName val="Raw-Data - Category 6 국내출장"/>
      <sheetName val="Raw-Data - Category 6 해외출장"/>
      <sheetName val="Raw-Data - Cat. 7 설문결과"/>
      <sheetName val="Raw-Data Category 12"/>
      <sheetName val="|→ Reference"/>
      <sheetName val="배출계수"/>
      <sheetName val="배출계수_환경성적표지(자동차)"/>
      <sheetName val="#배출계수 환경성적표지_원료, 에너지,폐기물"/>
      <sheetName val="폐기물 단위 환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sheetData sheetId="31"/>
      <sheetData sheetId="32"/>
      <sheetData sheetId="3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ameters"/>
      <sheetName val="MCF"/>
      <sheetName val="Activity"/>
      <sheetName val="Amnt_Deposited"/>
      <sheetName val="Recovery_OX"/>
      <sheetName val="Results"/>
      <sheetName val="HWP"/>
      <sheetName val="Stored_C"/>
      <sheetName val="Theory"/>
      <sheetName val="Defaults"/>
      <sheetName val="Food"/>
      <sheetName val="Garden"/>
      <sheetName val="Paper"/>
      <sheetName val="Wood"/>
      <sheetName val="Textiles"/>
      <sheetName val="Nappies"/>
      <sheetName val="Sludge"/>
      <sheetName val="MSW"/>
      <sheetName val="Industry"/>
      <sheetName val="SCOPE1 설비별 그래프"/>
    </sheetNames>
    <sheetDataSet>
      <sheetData sheetId="0"/>
      <sheetData sheetId="1">
        <row r="9">
          <cell r="E9">
            <v>1950</v>
          </cell>
        </row>
        <row r="23">
          <cell r="E23">
            <v>0.5</v>
          </cell>
        </row>
        <row r="39">
          <cell r="E39">
            <v>0.5</v>
          </cell>
        </row>
        <row r="41">
          <cell r="E41">
            <v>1.3333333333333333</v>
          </cell>
        </row>
        <row r="43">
          <cell r="E43">
            <v>0</v>
          </cell>
        </row>
      </sheetData>
      <sheetData sheetId="2"/>
      <sheetData sheetId="3"/>
      <sheetData sheetId="4"/>
      <sheetData sheetId="5"/>
      <sheetData sheetId="6"/>
      <sheetData sheetId="7"/>
      <sheetData sheetId="8"/>
      <sheetData sheetId="9"/>
      <sheetData sheetId="10">
        <row r="5">
          <cell r="W5">
            <v>13</v>
          </cell>
        </row>
        <row r="8">
          <cell r="D8">
            <v>0.04</v>
          </cell>
          <cell r="E8" t="str">
            <v>0.03–0.05</v>
          </cell>
          <cell r="F8">
            <v>0.06</v>
          </cell>
          <cell r="G8" t="str">
            <v>0.05–0.07</v>
          </cell>
          <cell r="H8">
            <v>4.4999999999999998E-2</v>
          </cell>
          <cell r="I8" t="str">
            <v>0.04–0.06</v>
          </cell>
          <cell r="J8">
            <v>7.0000000000000007E-2</v>
          </cell>
          <cell r="K8" t="str">
            <v>0.06–0.085</v>
          </cell>
          <cell r="P8">
            <v>0.15</v>
          </cell>
          <cell r="Q8" t="str">
            <v>0.08-0.20</v>
          </cell>
          <cell r="W8">
            <v>18.8</v>
          </cell>
          <cell r="X8">
            <v>3.5</v>
          </cell>
          <cell r="Y8">
            <v>26.2</v>
          </cell>
          <cell r="Z8">
            <v>3.5</v>
          </cell>
          <cell r="AA8">
            <v>0</v>
          </cell>
          <cell r="AB8">
            <v>0</v>
          </cell>
          <cell r="AC8">
            <v>0</v>
          </cell>
          <cell r="AD8">
            <v>1</v>
          </cell>
          <cell r="AE8">
            <v>47</v>
          </cell>
          <cell r="AF8">
            <v>0.55000000000000004</v>
          </cell>
          <cell r="AG8">
            <v>0.55000000000000004</v>
          </cell>
          <cell r="AH8">
            <v>0.14000000000000001</v>
          </cell>
        </row>
        <row r="9">
          <cell r="D9">
            <v>0.02</v>
          </cell>
          <cell r="E9" t="str">
            <v>0.01–0.03</v>
          </cell>
          <cell r="F9">
            <v>0.03</v>
          </cell>
          <cell r="G9" t="str">
            <v>0.02–0.04</v>
          </cell>
          <cell r="H9">
            <v>2.5000000000000001E-2</v>
          </cell>
          <cell r="I9" t="str">
            <v>0.02–0.04</v>
          </cell>
          <cell r="J9">
            <v>3.5000000000000003E-2</v>
          </cell>
          <cell r="K9" t="str">
            <v>0.03–0.05</v>
          </cell>
          <cell r="P9">
            <v>0.2</v>
          </cell>
          <cell r="Q9" t="str">
            <v>0.18-0.22</v>
          </cell>
          <cell r="W9">
            <v>11.3</v>
          </cell>
          <cell r="X9">
            <v>2.5</v>
          </cell>
          <cell r="Y9">
            <v>40.299999999999997</v>
          </cell>
          <cell r="Z9">
            <v>7.9</v>
          </cell>
          <cell r="AA9">
            <v>0</v>
          </cell>
          <cell r="AB9">
            <v>0</v>
          </cell>
          <cell r="AC9">
            <v>0</v>
          </cell>
          <cell r="AD9">
            <v>0.8</v>
          </cell>
          <cell r="AE9">
            <v>37.20000000000001</v>
          </cell>
          <cell r="AF9">
            <v>0.21</v>
          </cell>
          <cell r="AG9">
            <v>0.74</v>
          </cell>
          <cell r="AH9">
            <v>0.15</v>
          </cell>
        </row>
        <row r="10">
          <cell r="D10">
            <v>0.05</v>
          </cell>
          <cell r="E10" t="str">
            <v>0.04–0.06</v>
          </cell>
          <cell r="F10">
            <v>0.1</v>
          </cell>
          <cell r="G10" t="str">
            <v>0.06–0.1</v>
          </cell>
          <cell r="H10">
            <v>6.5000000000000002E-2</v>
          </cell>
          <cell r="I10" t="str">
            <v>0.05–0.08</v>
          </cell>
          <cell r="J10">
            <v>0.17</v>
          </cell>
          <cell r="K10" t="str">
            <v>0.15–0.2</v>
          </cell>
          <cell r="P10">
            <v>0.4</v>
          </cell>
          <cell r="Q10" t="str">
            <v>0.36-0.45</v>
          </cell>
          <cell r="W10">
            <v>12.9</v>
          </cell>
          <cell r="X10">
            <v>2.7</v>
          </cell>
          <cell r="Y10">
            <v>43.5</v>
          </cell>
          <cell r="Z10">
            <v>9.9</v>
          </cell>
          <cell r="AA10">
            <v>0</v>
          </cell>
          <cell r="AB10">
            <v>0</v>
          </cell>
          <cell r="AC10">
            <v>0</v>
          </cell>
          <cell r="AD10">
            <v>0.9</v>
          </cell>
          <cell r="AE10">
            <v>30.099999999999994</v>
          </cell>
          <cell r="AF10">
            <v>0.27</v>
          </cell>
          <cell r="AG10">
            <v>0.59</v>
          </cell>
          <cell r="AH10">
            <v>0.17</v>
          </cell>
        </row>
        <row r="11">
          <cell r="D11">
            <v>0.06</v>
          </cell>
          <cell r="E11" t="str">
            <v>0.05–0.08</v>
          </cell>
          <cell r="F11">
            <v>0.185</v>
          </cell>
          <cell r="G11" t="str">
            <v>0.1–0.2</v>
          </cell>
          <cell r="H11">
            <v>8.5000000000000006E-2</v>
          </cell>
          <cell r="I11" t="str">
            <v>0.07–0.1</v>
          </cell>
          <cell r="J11">
            <v>0.4</v>
          </cell>
          <cell r="K11" t="str">
            <v xml:space="preserve">0.17–0.7 </v>
          </cell>
          <cell r="P11">
            <v>0.43</v>
          </cell>
          <cell r="Q11" t="str">
            <v>0.39-0.46</v>
          </cell>
          <cell r="W11">
            <v>18</v>
          </cell>
          <cell r="X11">
            <v>2.9</v>
          </cell>
          <cell r="Y11">
            <v>41.1</v>
          </cell>
          <cell r="Z11">
            <v>9.8000000000000007</v>
          </cell>
          <cell r="AA11">
            <v>0</v>
          </cell>
          <cell r="AB11">
            <v>0</v>
          </cell>
          <cell r="AC11">
            <v>0</v>
          </cell>
          <cell r="AD11">
            <v>0.6</v>
          </cell>
          <cell r="AE11">
            <v>27.600000000000009</v>
          </cell>
          <cell r="AF11">
            <v>0.42055555555555557</v>
          </cell>
          <cell r="AG11">
            <v>0.676111111111111</v>
          </cell>
          <cell r="AH11">
            <v>0.19</v>
          </cell>
        </row>
        <row r="12">
          <cell r="D12">
            <v>0.05</v>
          </cell>
          <cell r="E12" t="str">
            <v>0.04–0.06</v>
          </cell>
          <cell r="F12">
            <v>0.09</v>
          </cell>
          <cell r="G12" t="str">
            <v>0.08–0.1</v>
          </cell>
          <cell r="H12">
            <v>6.5000000000000002E-2</v>
          </cell>
          <cell r="I12" t="str">
            <v>0.05–0.08</v>
          </cell>
          <cell r="J12">
            <v>0.17</v>
          </cell>
          <cell r="K12" t="str">
            <v>0.15–0.2</v>
          </cell>
          <cell r="P12">
            <v>0.24</v>
          </cell>
          <cell r="Q12" t="str">
            <v>0.20-0.40</v>
          </cell>
          <cell r="W12">
            <v>7.7</v>
          </cell>
          <cell r="X12">
            <v>1.7</v>
          </cell>
          <cell r="Y12">
            <v>53.9</v>
          </cell>
          <cell r="Z12">
            <v>7</v>
          </cell>
          <cell r="AA12">
            <v>0</v>
          </cell>
          <cell r="AB12">
            <v>0</v>
          </cell>
          <cell r="AC12">
            <v>0</v>
          </cell>
          <cell r="AD12">
            <v>1.1000000000000001</v>
          </cell>
          <cell r="AE12">
            <v>28.600000000000009</v>
          </cell>
          <cell r="AF12">
            <v>0.28999999999999998</v>
          </cell>
          <cell r="AG12">
            <v>0.69</v>
          </cell>
          <cell r="AH12">
            <v>0.15</v>
          </cell>
        </row>
        <row r="13">
          <cell r="P13">
            <v>0.24</v>
          </cell>
          <cell r="Q13" t="str">
            <v>0.18-0.32</v>
          </cell>
          <cell r="W13">
            <v>16.8</v>
          </cell>
          <cell r="X13">
            <v>2.5</v>
          </cell>
          <cell r="Y13">
            <v>43.4</v>
          </cell>
          <cell r="Z13">
            <v>6.5</v>
          </cell>
          <cell r="AA13">
            <v>0</v>
          </cell>
          <cell r="AB13">
            <v>0</v>
          </cell>
          <cell r="AC13">
            <v>0</v>
          </cell>
          <cell r="AD13">
            <v>0</v>
          </cell>
          <cell r="AE13">
            <v>30.799999999999997</v>
          </cell>
          <cell r="AF13">
            <v>0.28999999999999998</v>
          </cell>
          <cell r="AG13">
            <v>0.69</v>
          </cell>
          <cell r="AH13">
            <v>0.17</v>
          </cell>
        </row>
        <row r="14">
          <cell r="P14">
            <v>0.05</v>
          </cell>
          <cell r="Q14" t="str">
            <v>0.04-0.05</v>
          </cell>
          <cell r="W14">
            <v>16.5</v>
          </cell>
          <cell r="X14">
            <v>2.5</v>
          </cell>
          <cell r="Y14">
            <v>51.1</v>
          </cell>
          <cell r="Z14">
            <v>2</v>
          </cell>
          <cell r="AA14">
            <v>0</v>
          </cell>
          <cell r="AB14">
            <v>0</v>
          </cell>
          <cell r="AC14">
            <v>0</v>
          </cell>
          <cell r="AD14">
            <v>0</v>
          </cell>
          <cell r="AE14">
            <v>27.900000000000006</v>
          </cell>
          <cell r="AF14">
            <v>0.28999999999999998</v>
          </cell>
          <cell r="AG14">
            <v>0.69</v>
          </cell>
          <cell r="AH14">
            <v>0.16</v>
          </cell>
        </row>
        <row r="15">
          <cell r="P15">
            <v>0.39</v>
          </cell>
          <cell r="Q15" t="str">
            <v>0.39</v>
          </cell>
          <cell r="W15">
            <v>25</v>
          </cell>
          <cell r="X15">
            <v>0</v>
          </cell>
          <cell r="Y15">
            <v>23</v>
          </cell>
          <cell r="Z15">
            <v>15</v>
          </cell>
          <cell r="AA15">
            <v>0</v>
          </cell>
          <cell r="AB15">
            <v>0</v>
          </cell>
          <cell r="AC15">
            <v>0</v>
          </cell>
          <cell r="AD15">
            <v>0</v>
          </cell>
          <cell r="AE15">
            <v>37</v>
          </cell>
          <cell r="AF15">
            <v>0.28999999999999998</v>
          </cell>
          <cell r="AG15">
            <v>0.69</v>
          </cell>
          <cell r="AH15">
            <v>0.2</v>
          </cell>
        </row>
        <row r="16">
          <cell r="P16">
            <v>0.18</v>
          </cell>
          <cell r="Q16" t="str">
            <v>0.12-0.28</v>
          </cell>
          <cell r="W16">
            <v>9.8000000000000007</v>
          </cell>
          <cell r="X16">
            <v>1</v>
          </cell>
          <cell r="Y16">
            <v>40.4</v>
          </cell>
          <cell r="Z16">
            <v>4.4000000000000004</v>
          </cell>
          <cell r="AA16">
            <v>0</v>
          </cell>
          <cell r="AB16">
            <v>0</v>
          </cell>
          <cell r="AC16">
            <v>0</v>
          </cell>
          <cell r="AD16">
            <v>0</v>
          </cell>
          <cell r="AE16">
            <v>44.4</v>
          </cell>
          <cell r="AF16">
            <v>0.28999999999999998</v>
          </cell>
          <cell r="AG16">
            <v>0.69</v>
          </cell>
          <cell r="AH16">
            <v>0.12</v>
          </cell>
        </row>
        <row r="17">
          <cell r="G17">
            <v>2</v>
          </cell>
          <cell r="P17">
            <v>0.15</v>
          </cell>
          <cell r="Q17" t="str">
            <v>0-0.54</v>
          </cell>
          <cell r="W17">
            <v>21.8</v>
          </cell>
          <cell r="X17">
            <v>4.7</v>
          </cell>
          <cell r="Y17">
            <v>30.1</v>
          </cell>
          <cell r="Z17">
            <v>7.5</v>
          </cell>
          <cell r="AA17">
            <v>0</v>
          </cell>
          <cell r="AB17">
            <v>0</v>
          </cell>
          <cell r="AC17">
            <v>0</v>
          </cell>
          <cell r="AD17">
            <v>1.4</v>
          </cell>
          <cell r="AE17">
            <v>34.5</v>
          </cell>
          <cell r="AF17">
            <v>0.38</v>
          </cell>
          <cell r="AG17">
            <v>0.9</v>
          </cell>
          <cell r="AH17">
            <v>0.18</v>
          </cell>
        </row>
        <row r="18">
          <cell r="W18">
            <v>30.6</v>
          </cell>
          <cell r="X18">
            <v>2</v>
          </cell>
          <cell r="Y18">
            <v>23.8</v>
          </cell>
          <cell r="Z18">
            <v>10</v>
          </cell>
          <cell r="AA18">
            <v>0</v>
          </cell>
          <cell r="AB18">
            <v>0</v>
          </cell>
          <cell r="AC18">
            <v>0</v>
          </cell>
          <cell r="AD18">
            <v>0</v>
          </cell>
          <cell r="AE18">
            <v>33.599999999999994</v>
          </cell>
          <cell r="AF18">
            <v>0.64</v>
          </cell>
          <cell r="AG18">
            <v>0.47</v>
          </cell>
          <cell r="AH18">
            <v>0.21</v>
          </cell>
        </row>
        <row r="19">
          <cell r="W19">
            <v>17</v>
          </cell>
          <cell r="X19">
            <v>0</v>
          </cell>
          <cell r="Y19">
            <v>36.9</v>
          </cell>
          <cell r="Z19">
            <v>10.6</v>
          </cell>
          <cell r="AA19">
            <v>0</v>
          </cell>
          <cell r="AB19">
            <v>0</v>
          </cell>
          <cell r="AC19">
            <v>0</v>
          </cell>
          <cell r="AD19">
            <v>0</v>
          </cell>
          <cell r="AE19">
            <v>35.5</v>
          </cell>
          <cell r="AF19">
            <v>0.52</v>
          </cell>
          <cell r="AG19">
            <v>0.85</v>
          </cell>
          <cell r="AH19">
            <v>0.17</v>
          </cell>
        </row>
        <row r="20">
          <cell r="O20">
            <v>1</v>
          </cell>
          <cell r="W20">
            <v>27.5</v>
          </cell>
          <cell r="X20">
            <v>0</v>
          </cell>
          <cell r="Y20">
            <v>24.2</v>
          </cell>
          <cell r="Z20">
            <v>11</v>
          </cell>
          <cell r="AA20">
            <v>0</v>
          </cell>
          <cell r="AB20">
            <v>0</v>
          </cell>
          <cell r="AC20">
            <v>0</v>
          </cell>
          <cell r="AD20">
            <v>0</v>
          </cell>
          <cell r="AE20">
            <v>37.299999999999997</v>
          </cell>
          <cell r="AF20">
            <v>0.56000000000000005</v>
          </cell>
          <cell r="AG20">
            <v>0.47</v>
          </cell>
          <cell r="AH20">
            <v>0.19</v>
          </cell>
        </row>
        <row r="21">
          <cell r="W21">
            <v>30</v>
          </cell>
          <cell r="X21">
            <v>0</v>
          </cell>
          <cell r="Y21">
            <v>36</v>
          </cell>
          <cell r="Z21">
            <v>24</v>
          </cell>
          <cell r="AA21">
            <v>0</v>
          </cell>
          <cell r="AB21">
            <v>0</v>
          </cell>
          <cell r="AC21">
            <v>0</v>
          </cell>
          <cell r="AD21">
            <v>0</v>
          </cell>
          <cell r="AE21">
            <v>10</v>
          </cell>
          <cell r="AF21">
            <v>0.69</v>
          </cell>
          <cell r="AG21">
            <v>0.85</v>
          </cell>
          <cell r="AH21">
            <v>0.28000000000000003</v>
          </cell>
        </row>
        <row r="22">
          <cell r="W22">
            <v>6</v>
          </cell>
          <cell r="X22">
            <v>0</v>
          </cell>
          <cell r="Y22">
            <v>67.5</v>
          </cell>
          <cell r="Z22">
            <v>2.5</v>
          </cell>
          <cell r="AA22">
            <v>0</v>
          </cell>
          <cell r="AB22">
            <v>0</v>
          </cell>
          <cell r="AC22">
            <v>0</v>
          </cell>
          <cell r="AD22">
            <v>0</v>
          </cell>
          <cell r="AE22">
            <v>24</v>
          </cell>
          <cell r="AF22">
            <v>0.69</v>
          </cell>
          <cell r="AG22">
            <v>0.85</v>
          </cell>
          <cell r="AH22">
            <v>0.14000000000000001</v>
          </cell>
        </row>
        <row r="23">
          <cell r="W23">
            <v>23.2</v>
          </cell>
          <cell r="X23">
            <v>3.9</v>
          </cell>
          <cell r="Y23">
            <v>33.9</v>
          </cell>
          <cell r="Z23">
            <v>6.2</v>
          </cell>
          <cell r="AA23">
            <v>0</v>
          </cell>
          <cell r="AB23">
            <v>0</v>
          </cell>
          <cell r="AC23">
            <v>0</v>
          </cell>
          <cell r="AD23">
            <v>1.4</v>
          </cell>
          <cell r="AE23">
            <v>31.399999999999991</v>
          </cell>
          <cell r="AF23">
            <v>0.65</v>
          </cell>
          <cell r="AG23">
            <v>0.57999999999999996</v>
          </cell>
          <cell r="AH23">
            <v>0.19</v>
          </cell>
        </row>
        <row r="24">
          <cell r="W24">
            <v>13.7</v>
          </cell>
          <cell r="X24">
            <v>2.6</v>
          </cell>
          <cell r="Y24">
            <v>43.8</v>
          </cell>
          <cell r="Z24">
            <v>13.5</v>
          </cell>
          <cell r="AA24">
            <v>0</v>
          </cell>
          <cell r="AB24">
            <v>0</v>
          </cell>
          <cell r="AC24">
            <v>0</v>
          </cell>
          <cell r="AD24">
            <v>1.8</v>
          </cell>
          <cell r="AE24">
            <v>24.600000000000009</v>
          </cell>
          <cell r="AF24">
            <v>0.21</v>
          </cell>
          <cell r="AG24">
            <v>0.5</v>
          </cell>
          <cell r="AH24">
            <v>0.19</v>
          </cell>
        </row>
        <row r="25">
          <cell r="W25">
            <v>17.100000000000001</v>
          </cell>
          <cell r="X25">
            <v>2.6</v>
          </cell>
          <cell r="Y25">
            <v>44.9</v>
          </cell>
          <cell r="Z25">
            <v>4.7</v>
          </cell>
          <cell r="AA25">
            <v>0</v>
          </cell>
          <cell r="AB25">
            <v>0</v>
          </cell>
          <cell r="AC25">
            <v>0</v>
          </cell>
          <cell r="AD25">
            <v>0.7</v>
          </cell>
          <cell r="AE25">
            <v>30</v>
          </cell>
          <cell r="AF25">
            <v>0.26</v>
          </cell>
          <cell r="AG25">
            <v>0.54</v>
          </cell>
          <cell r="AH25">
            <v>0.16</v>
          </cell>
        </row>
        <row r="26">
          <cell r="W26">
            <v>17</v>
          </cell>
          <cell r="X26">
            <v>5.0999999999999996</v>
          </cell>
          <cell r="Y26">
            <v>46.9</v>
          </cell>
          <cell r="Z26">
            <v>2.4</v>
          </cell>
          <cell r="AA26">
            <v>0</v>
          </cell>
          <cell r="AB26">
            <v>0</v>
          </cell>
          <cell r="AC26">
            <v>0</v>
          </cell>
          <cell r="AD26">
            <v>1.9</v>
          </cell>
          <cell r="AE26">
            <v>26.699999999999989</v>
          </cell>
          <cell r="AF26">
            <v>0.49</v>
          </cell>
          <cell r="AG26">
            <v>0.83</v>
          </cell>
          <cell r="AH26">
            <v>0.17</v>
          </cell>
        </row>
      </sheetData>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숨김) 0. 건조 선박 Type별 비중"/>
      <sheetName val="█ Cat_all █"/>
      <sheetName val="█ Projection_Category 1,11,12"/>
      <sheetName val="█ Cat 1_Projection"/>
      <sheetName val="1-1. 선박 구성 분석"/>
      <sheetName val="# 1-2. 고객사_데이터&gt;생산물량실적"/>
      <sheetName val="█ Cat 2"/>
      <sheetName val="█ Cat 3"/>
      <sheetName val="█ Cat 4"/>
      <sheetName val="4-1. 현대중공업_20_해외"/>
      <sheetName val="4-1. 현대중공업_21_해외"/>
      <sheetName val="4-2. 현대삼호중공업_20_해외"/>
      <sheetName val="4-2. 현대삼호중공업_21_해외"/>
      <sheetName val="4-3. 현대미포조선_20_해외"/>
      <sheetName val="4-3. 현대미포조선_21_해외"/>
      <sheetName val="4-4. 현대중공업, 미포, 삼호_국내_20,21"/>
      <sheetName val="#4. 거리 Back Data"/>
      <sheetName val="#4.  Country - City Matching"/>
      <sheetName val="█  Cat 5"/>
      <sheetName val="█  Cat 6"/>
      <sheetName val="# 6-1. 한국조선해양_20_21_국내_거리산출"/>
      <sheetName val="# 6-2. 현중_거리산출"/>
      <sheetName val="# 6-2. 현중_전체 종업원 현황"/>
      <sheetName val="# 6-2. 현중_출장거리 기준"/>
      <sheetName val="# 6-2. 현중_사번별 주소지"/>
      <sheetName val="# 6-2. 현중_해외출장 현황"/>
      <sheetName val="# 6-3. 삼호_20_Raw Data"/>
      <sheetName val="# 6-3. 삼호_21_Raw Data"/>
      <sheetName val="# 6-3. 삼호_설명"/>
      <sheetName val="# 6-4. 미포_거리기준"/>
      <sheetName val="# 6-4. 미포_사번별 주소지"/>
      <sheetName val="# 6-4. 미포_거리산출"/>
      <sheetName val="█  Cat 7"/>
      <sheetName val="7-1. 한국조선해양_20,21"/>
      <sheetName val="7-2. 현중_20,21"/>
      <sheetName val="7-3. 삼호_20, 21"/>
      <sheetName val="7-4. 미포_20,21"/>
      <sheetName val="# 7-1. 한국조선해양_출퇴근 이동수단"/>
      <sheetName val="# 7-1. 한국조선해양_거리산출"/>
      <sheetName val="# 7-2. 현대중공업_출퇴근 이동수단"/>
      <sheetName val="# 7-3. 삼호_설명"/>
      <sheetName val="# 7-3. 삼호_20 Raw"/>
      <sheetName val="# 7-3. 삼호_21 Raw"/>
      <sheetName val="# 7-4. 미포_출퇴근 이동수단"/>
      <sheetName val="# 7-4. 미포_비상연락망"/>
      <sheetName val="# 7-4. 미포_출퇴근_거리산출"/>
      <sheetName val="█  Cat 11_Projection"/>
      <sheetName val="11-1. 현중_20, 21"/>
      <sheetName val="11-1. 삼호_20, 21"/>
      <sheetName val="11-1. 미포_20, 21"/>
      <sheetName val="(숨김) Cat 11_선종별 배출 Efficiency비교"/>
      <sheetName val="# 11. EU 연료 별 에너지 Share 전망"/>
      <sheetName val="█  Cat_12 Projection"/>
      <sheetName val="#12. GT_DWT Conversion"/>
      <sheetName val="█  Cat_15"/>
      <sheetName val="█ 99. BackData &gt;&gt;"/>
      <sheetName val="#99. 건조 전망 (CGT)"/>
      <sheetName val="# 99-1.고객사 데이터&gt; 과거 건조 수량_매출액"/>
      <sheetName val="# 99-2.고객사 데이터 &gt;Vessel Type 매칭"/>
      <sheetName val="# 99-3. 클락슨+DNV 전망 데이터"/>
      <sheetName val="# 99-4. Emissions calculation"/>
      <sheetName val="# 99-6. Third IMO GHG StudyData"/>
      <sheetName val="# 99-7. Ship LIfe Spam"/>
      <sheetName val="█ 배출계수 Mastersheet"/>
      <sheetName val="#배출계수 DB_1_환경성적표지 (21년+19년)"/>
      <sheetName val="#배출계수 DB_2_폐기물 종류별 잔재물 배출계수"/>
      <sheetName val="#배출계수 DB_3_배출량 세부산정방법"/>
      <sheetName val="#배출계수 DB_4_Methodology for GHG"/>
      <sheetName val="#배출계수DB_5_연료원별 사용 및 화학반응 공정"/>
      <sheetName val="#배출계수DB_6_한국산업은행 산업별 배출계수"/>
      <sheetName val="#배출계수DB_7_전력Upstream"/>
      <sheetName val="#배출계수DB_8_산업별 배출계수"/>
      <sheetName val="#배출계수DB_9_European_Commision_EF"/>
      <sheetName val="#배출계수DB_10_IMO 배출계수 "/>
      <sheetName val="#배출계수DB_11_Steel &amp; EAF Steel 계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 investment profile"/>
      <sheetName val="Hydrogen investment profile"/>
      <sheetName val="FC investment profile"/>
      <sheetName val="RE Investment_Project Analysis"/>
      <sheetName val="FC Investment_Project Analysis"/>
      <sheetName val="Hydrogen_Project Analysis"/>
      <sheetName val="Tariff and energy cost"/>
      <sheetName val="PV Installation Cost"/>
      <sheetName val="Hydrogen Burner Capital cost"/>
      <sheetName val="Capacity Factor"/>
      <sheetName val="Project Scenario_Global"/>
      <sheetName val="Paintshop Hydrogen"/>
      <sheetName val="Cost assumption ref."/>
      <sheetName val="Project Scenario_Korea"/>
      <sheetName val="원단위_tCO2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사항"/>
      <sheetName val="기준표"/>
      <sheetName val="MAIN"/>
      <sheetName val="DB-계약예정"/>
      <sheetName val="DB-계약완료"/>
      <sheetName val="DB-합계"/>
      <sheetName val="팀별수주실적"/>
      <sheetName val="환경사양 정리"/>
      <sheetName val="Sheet1"/>
      <sheetName val="Sheet3"/>
      <sheetName val="SCOPE1 (비에너지) - 설비별 BAU 그래프"/>
    </sheetNames>
    <sheetDataSet>
      <sheetData sheetId="0"/>
      <sheetData sheetId="1"/>
      <sheetData sheetId="2"/>
      <sheetData sheetId="3">
        <row r="4">
          <cell r="B4" t="str">
            <v>조선</v>
          </cell>
          <cell r="C4">
            <v>1</v>
          </cell>
          <cell r="L4">
            <v>188000000</v>
          </cell>
          <cell r="Q4">
            <v>2021</v>
          </cell>
        </row>
        <row r="5">
          <cell r="B5" t="str">
            <v>HMD</v>
          </cell>
          <cell r="C5">
            <v>1</v>
          </cell>
          <cell r="L5">
            <v>194820000</v>
          </cell>
          <cell r="Q5">
            <v>2021</v>
          </cell>
        </row>
        <row r="6">
          <cell r="B6" t="str">
            <v>HMD</v>
          </cell>
          <cell r="C6">
            <v>1</v>
          </cell>
          <cell r="L6">
            <v>194820000</v>
          </cell>
          <cell r="Q6">
            <v>2021</v>
          </cell>
        </row>
        <row r="7">
          <cell r="B7" t="str">
            <v>HMD</v>
          </cell>
          <cell r="C7">
            <v>1</v>
          </cell>
          <cell r="L7">
            <v>194820000</v>
          </cell>
          <cell r="Q7">
            <v>2021</v>
          </cell>
        </row>
        <row r="8">
          <cell r="B8" t="str">
            <v>HMD</v>
          </cell>
          <cell r="C8">
            <v>1</v>
          </cell>
          <cell r="L8">
            <v>194820000</v>
          </cell>
          <cell r="Q8">
            <v>2021</v>
          </cell>
        </row>
        <row r="9">
          <cell r="B9" t="str">
            <v>삼호</v>
          </cell>
          <cell r="C9">
            <v>1</v>
          </cell>
          <cell r="L9">
            <v>109000000</v>
          </cell>
          <cell r="Q9">
            <v>2021</v>
          </cell>
        </row>
        <row r="10">
          <cell r="B10" t="str">
            <v>HMD</v>
          </cell>
          <cell r="C10">
            <v>1</v>
          </cell>
          <cell r="L10">
            <v>45890000</v>
          </cell>
          <cell r="Q10">
            <v>2021</v>
          </cell>
        </row>
        <row r="11">
          <cell r="B11" t="str">
            <v>현대</v>
          </cell>
          <cell r="C11">
            <v>2</v>
          </cell>
          <cell r="L11">
            <v>94020000</v>
          </cell>
          <cell r="Q11">
            <v>2021</v>
          </cell>
        </row>
        <row r="12">
          <cell r="B12" t="str">
            <v>현대</v>
          </cell>
          <cell r="C12">
            <v>2</v>
          </cell>
          <cell r="L12">
            <v>94020000</v>
          </cell>
          <cell r="Q12">
            <v>2021</v>
          </cell>
        </row>
        <row r="13">
          <cell r="B13" t="str">
            <v>삼호</v>
          </cell>
          <cell r="C13">
            <v>2</v>
          </cell>
          <cell r="L13">
            <v>189876100</v>
          </cell>
          <cell r="Q13">
            <v>2021</v>
          </cell>
        </row>
        <row r="14">
          <cell r="B14" t="str">
            <v>삼호</v>
          </cell>
          <cell r="C14">
            <v>2</v>
          </cell>
          <cell r="L14">
            <v>189876100</v>
          </cell>
          <cell r="Q14">
            <v>2021</v>
          </cell>
        </row>
        <row r="15">
          <cell r="B15" t="str">
            <v>삼호</v>
          </cell>
          <cell r="C15">
            <v>3</v>
          </cell>
          <cell r="L15">
            <v>183787500</v>
          </cell>
          <cell r="Q15">
            <v>2021</v>
          </cell>
        </row>
        <row r="16">
          <cell r="B16" t="str">
            <v>조선</v>
          </cell>
          <cell r="C16">
            <v>1</v>
          </cell>
          <cell r="L16">
            <v>51225000</v>
          </cell>
          <cell r="Q16">
            <v>2021</v>
          </cell>
        </row>
        <row r="17">
          <cell r="B17" t="str">
            <v>HMD</v>
          </cell>
          <cell r="C17">
            <v>1</v>
          </cell>
          <cell r="L17">
            <v>51225000</v>
          </cell>
          <cell r="Q17">
            <v>2021</v>
          </cell>
        </row>
        <row r="18">
          <cell r="B18" t="str">
            <v>조선</v>
          </cell>
          <cell r="C18">
            <v>3</v>
          </cell>
          <cell r="L18">
            <v>45700000</v>
          </cell>
          <cell r="Q18">
            <v>2021</v>
          </cell>
        </row>
        <row r="19">
          <cell r="B19" t="str">
            <v>HMD</v>
          </cell>
          <cell r="C19">
            <v>1</v>
          </cell>
          <cell r="L19">
            <v>45700000</v>
          </cell>
          <cell r="Q19">
            <v>2021</v>
          </cell>
        </row>
        <row r="20">
          <cell r="B20" t="str">
            <v>조선</v>
          </cell>
          <cell r="C20">
            <v>1</v>
          </cell>
          <cell r="L20">
            <v>53569454.545454547</v>
          </cell>
          <cell r="Q20">
            <v>2021</v>
          </cell>
        </row>
        <row r="21">
          <cell r="B21" t="str">
            <v>조선</v>
          </cell>
          <cell r="C21">
            <v>2</v>
          </cell>
          <cell r="L21">
            <v>49500000</v>
          </cell>
          <cell r="Q21">
            <v>2021</v>
          </cell>
        </row>
        <row r="22">
          <cell r="B22" t="str">
            <v>조선</v>
          </cell>
          <cell r="C22">
            <v>2</v>
          </cell>
          <cell r="L22">
            <v>49500000</v>
          </cell>
          <cell r="Q22">
            <v>2021</v>
          </cell>
        </row>
        <row r="23">
          <cell r="B23" t="str">
            <v>조선</v>
          </cell>
          <cell r="C23">
            <v>2</v>
          </cell>
          <cell r="L23">
            <v>49500000</v>
          </cell>
          <cell r="Q23">
            <v>2021</v>
          </cell>
        </row>
        <row r="24">
          <cell r="B24" t="str">
            <v>조선</v>
          </cell>
          <cell r="C24">
            <v>2</v>
          </cell>
          <cell r="L24">
            <v>49500000</v>
          </cell>
          <cell r="Q24">
            <v>2021</v>
          </cell>
        </row>
        <row r="25">
          <cell r="B25" t="str">
            <v>조선</v>
          </cell>
          <cell r="C25">
            <v>2</v>
          </cell>
          <cell r="L25">
            <v>49500000</v>
          </cell>
          <cell r="Q25">
            <v>2021</v>
          </cell>
        </row>
        <row r="26">
          <cell r="B26" t="str">
            <v>조선</v>
          </cell>
          <cell r="C26">
            <v>1</v>
          </cell>
          <cell r="L26">
            <v>49500000</v>
          </cell>
          <cell r="Q26">
            <v>2021</v>
          </cell>
        </row>
        <row r="27">
          <cell r="B27" t="str">
            <v>삼호</v>
          </cell>
          <cell r="C27">
            <v>2</v>
          </cell>
          <cell r="L27">
            <v>61300000</v>
          </cell>
          <cell r="Q27">
            <v>2021</v>
          </cell>
        </row>
        <row r="28">
          <cell r="B28" t="str">
            <v>삼호</v>
          </cell>
          <cell r="C28">
            <v>3</v>
          </cell>
          <cell r="L28">
            <v>77380000</v>
          </cell>
          <cell r="Q28">
            <v>2021</v>
          </cell>
        </row>
        <row r="29">
          <cell r="B29" t="str">
            <v>삼호</v>
          </cell>
          <cell r="C29">
            <v>3</v>
          </cell>
          <cell r="L29">
            <v>77380000</v>
          </cell>
          <cell r="Q29">
            <v>2021</v>
          </cell>
        </row>
        <row r="30">
          <cell r="B30" t="str">
            <v>조선</v>
          </cell>
          <cell r="C30">
            <v>1</v>
          </cell>
          <cell r="L30">
            <v>185550000</v>
          </cell>
          <cell r="Q30">
            <v>2021</v>
          </cell>
        </row>
        <row r="31">
          <cell r="B31" t="str">
            <v>삼호</v>
          </cell>
          <cell r="C31">
            <v>3</v>
          </cell>
          <cell r="L31">
            <v>185550000</v>
          </cell>
          <cell r="Q31">
            <v>2021</v>
          </cell>
        </row>
        <row r="32">
          <cell r="B32" t="str">
            <v>삼호</v>
          </cell>
          <cell r="C32">
            <v>1</v>
          </cell>
          <cell r="L32">
            <v>44850000</v>
          </cell>
          <cell r="Q32">
            <v>2021</v>
          </cell>
        </row>
        <row r="33">
          <cell r="B33" t="str">
            <v>HMD</v>
          </cell>
          <cell r="C33">
            <v>1</v>
          </cell>
          <cell r="L33">
            <v>185550000</v>
          </cell>
          <cell r="Q33">
            <v>2021</v>
          </cell>
        </row>
        <row r="34">
          <cell r="B34" t="str">
            <v>HMD</v>
          </cell>
          <cell r="C34">
            <v>1</v>
          </cell>
          <cell r="L34">
            <v>185550000</v>
          </cell>
          <cell r="Q34">
            <v>2021</v>
          </cell>
        </row>
        <row r="35">
          <cell r="B35" t="str">
            <v>HMD</v>
          </cell>
          <cell r="C35">
            <v>1</v>
          </cell>
          <cell r="L35">
            <v>185550000</v>
          </cell>
          <cell r="Q35">
            <v>2021</v>
          </cell>
        </row>
        <row r="36">
          <cell r="B36" t="str">
            <v>HMD</v>
          </cell>
          <cell r="C36">
            <v>1</v>
          </cell>
          <cell r="L36">
            <v>76500000</v>
          </cell>
          <cell r="Q36">
            <v>2021</v>
          </cell>
        </row>
        <row r="37">
          <cell r="B37" t="str">
            <v>HMD</v>
          </cell>
          <cell r="C37">
            <v>1</v>
          </cell>
          <cell r="L37">
            <v>76500000</v>
          </cell>
          <cell r="Q37">
            <v>2021</v>
          </cell>
        </row>
        <row r="38">
          <cell r="B38" t="str">
            <v>조선</v>
          </cell>
          <cell r="C38">
            <v>1</v>
          </cell>
          <cell r="L38">
            <v>191000000</v>
          </cell>
          <cell r="Q38">
            <v>2021</v>
          </cell>
        </row>
        <row r="39">
          <cell r="B39" t="str">
            <v>조선</v>
          </cell>
          <cell r="C39">
            <v>1</v>
          </cell>
          <cell r="L39">
            <v>191000000</v>
          </cell>
          <cell r="Q39">
            <v>2021</v>
          </cell>
        </row>
        <row r="40">
          <cell r="B40" t="str">
            <v>삼호</v>
          </cell>
          <cell r="C40">
            <v>3</v>
          </cell>
          <cell r="L40">
            <v>191000000</v>
          </cell>
          <cell r="Q40">
            <v>2021</v>
          </cell>
        </row>
        <row r="41">
          <cell r="B41" t="str">
            <v>삼호</v>
          </cell>
          <cell r="C41">
            <v>3</v>
          </cell>
          <cell r="L41">
            <v>191000000</v>
          </cell>
          <cell r="Q41">
            <v>2021</v>
          </cell>
        </row>
        <row r="42">
          <cell r="B42" t="str">
            <v>삼호</v>
          </cell>
          <cell r="C42">
            <v>3</v>
          </cell>
          <cell r="L42">
            <v>191000000</v>
          </cell>
          <cell r="Q42">
            <v>2021</v>
          </cell>
        </row>
        <row r="43">
          <cell r="B43" t="str">
            <v>삼호</v>
          </cell>
          <cell r="C43">
            <v>3</v>
          </cell>
          <cell r="L43">
            <v>59525000</v>
          </cell>
          <cell r="Q43">
            <v>2021</v>
          </cell>
        </row>
        <row r="44">
          <cell r="B44" t="str">
            <v>삼호</v>
          </cell>
          <cell r="C44">
            <v>3</v>
          </cell>
          <cell r="L44">
            <v>59525000</v>
          </cell>
          <cell r="Q44">
            <v>2021</v>
          </cell>
        </row>
        <row r="45">
          <cell r="B45" t="str">
            <v>HMD</v>
          </cell>
          <cell r="C45">
            <v>1</v>
          </cell>
          <cell r="L45">
            <v>191000000</v>
          </cell>
          <cell r="Q45">
            <v>2021</v>
          </cell>
        </row>
        <row r="46">
          <cell r="B46" t="str">
            <v>삼호</v>
          </cell>
          <cell r="C46">
            <v>1</v>
          </cell>
          <cell r="L46">
            <v>183828300</v>
          </cell>
          <cell r="Q46">
            <v>2020</v>
          </cell>
        </row>
        <row r="47">
          <cell r="B47" t="str">
            <v>삼호</v>
          </cell>
          <cell r="C47">
            <v>3</v>
          </cell>
          <cell r="L47">
            <v>183828300</v>
          </cell>
          <cell r="Q47">
            <v>2020</v>
          </cell>
        </row>
        <row r="48">
          <cell r="B48" t="str">
            <v>조선</v>
          </cell>
          <cell r="C48">
            <v>2</v>
          </cell>
          <cell r="L48">
            <v>185550000</v>
          </cell>
          <cell r="Q48">
            <v>2020</v>
          </cell>
        </row>
        <row r="49">
          <cell r="B49" t="str">
            <v>조선</v>
          </cell>
          <cell r="C49">
            <v>2</v>
          </cell>
          <cell r="L49">
            <v>185550000</v>
          </cell>
          <cell r="Q49">
            <v>2020</v>
          </cell>
        </row>
        <row r="50">
          <cell r="B50" t="str">
            <v>조선</v>
          </cell>
          <cell r="C50">
            <v>2</v>
          </cell>
          <cell r="L50">
            <v>185550000</v>
          </cell>
          <cell r="Q50">
            <v>2020</v>
          </cell>
        </row>
        <row r="51">
          <cell r="B51" t="str">
            <v>조선</v>
          </cell>
          <cell r="C51">
            <v>2</v>
          </cell>
          <cell r="L51">
            <v>185550000</v>
          </cell>
          <cell r="Q51">
            <v>2020</v>
          </cell>
        </row>
        <row r="52">
          <cell r="B52" t="str">
            <v>조선</v>
          </cell>
          <cell r="C52">
            <v>2</v>
          </cell>
          <cell r="L52">
            <v>185550000</v>
          </cell>
          <cell r="Q52">
            <v>2020</v>
          </cell>
        </row>
        <row r="53">
          <cell r="B53" t="str">
            <v>조선</v>
          </cell>
          <cell r="C53">
            <v>2</v>
          </cell>
          <cell r="L53">
            <v>229500000</v>
          </cell>
          <cell r="Q53">
            <v>2020</v>
          </cell>
        </row>
        <row r="54">
          <cell r="B54" t="str">
            <v>삼호</v>
          </cell>
          <cell r="C54">
            <v>1</v>
          </cell>
          <cell r="L54">
            <v>93420000</v>
          </cell>
          <cell r="Q54">
            <v>2020</v>
          </cell>
        </row>
        <row r="55">
          <cell r="B55" t="str">
            <v>삼호</v>
          </cell>
          <cell r="C55">
            <v>1</v>
          </cell>
          <cell r="L55">
            <v>93420000</v>
          </cell>
          <cell r="Q55">
            <v>2020</v>
          </cell>
        </row>
        <row r="56">
          <cell r="B56" t="str">
            <v>삼호</v>
          </cell>
          <cell r="C56">
            <v>1</v>
          </cell>
          <cell r="L56">
            <v>93420000</v>
          </cell>
          <cell r="Q56">
            <v>2020</v>
          </cell>
        </row>
        <row r="57">
          <cell r="B57" t="str">
            <v>삼호</v>
          </cell>
          <cell r="C57">
            <v>1</v>
          </cell>
          <cell r="L57">
            <v>93420000</v>
          </cell>
          <cell r="Q57">
            <v>2020</v>
          </cell>
        </row>
        <row r="58">
          <cell r="B58" t="str">
            <v>삼호</v>
          </cell>
          <cell r="C58">
            <v>3</v>
          </cell>
          <cell r="L58">
            <v>186000000</v>
          </cell>
          <cell r="Q58">
            <v>2020</v>
          </cell>
        </row>
        <row r="59">
          <cell r="B59" t="str">
            <v>삼호</v>
          </cell>
          <cell r="C59">
            <v>3</v>
          </cell>
          <cell r="L59">
            <v>186000000</v>
          </cell>
          <cell r="Q59">
            <v>2020</v>
          </cell>
        </row>
        <row r="60">
          <cell r="B60" t="str">
            <v>삼호</v>
          </cell>
          <cell r="C60">
            <v>3</v>
          </cell>
          <cell r="L60">
            <v>186000000</v>
          </cell>
          <cell r="Q60">
            <v>2020</v>
          </cell>
        </row>
        <row r="61">
          <cell r="B61" t="str">
            <v>삼호</v>
          </cell>
          <cell r="C61">
            <v>3</v>
          </cell>
          <cell r="L61">
            <v>186000000</v>
          </cell>
          <cell r="Q61">
            <v>2020</v>
          </cell>
        </row>
        <row r="62">
          <cell r="B62" t="str">
            <v>삼호</v>
          </cell>
          <cell r="C62">
            <v>3</v>
          </cell>
          <cell r="L62">
            <v>183000000</v>
          </cell>
          <cell r="Q62">
            <v>2020</v>
          </cell>
        </row>
        <row r="63">
          <cell r="B63" t="str">
            <v>삼호</v>
          </cell>
          <cell r="C63">
            <v>3</v>
          </cell>
          <cell r="L63">
            <v>183000000</v>
          </cell>
          <cell r="Q63">
            <v>2020</v>
          </cell>
        </row>
        <row r="64">
          <cell r="B64" t="str">
            <v>삼호</v>
          </cell>
          <cell r="C64">
            <v>3</v>
          </cell>
          <cell r="L64">
            <v>183000000</v>
          </cell>
          <cell r="Q64">
            <v>2020</v>
          </cell>
        </row>
        <row r="65">
          <cell r="B65" t="str">
            <v>삼호</v>
          </cell>
          <cell r="C65">
            <v>3</v>
          </cell>
          <cell r="L65">
            <v>183000000</v>
          </cell>
          <cell r="Q65">
            <v>2020</v>
          </cell>
        </row>
        <row r="66">
          <cell r="B66" t="str">
            <v>삼호</v>
          </cell>
          <cell r="C66">
            <v>3</v>
          </cell>
          <cell r="L66">
            <v>183000000</v>
          </cell>
          <cell r="Q66">
            <v>2020</v>
          </cell>
        </row>
        <row r="67">
          <cell r="B67" t="str">
            <v>HMD</v>
          </cell>
          <cell r="C67">
            <v>1</v>
          </cell>
          <cell r="L67">
            <v>23200000</v>
          </cell>
          <cell r="Q67">
            <v>2020</v>
          </cell>
        </row>
        <row r="68">
          <cell r="B68" t="str">
            <v>HMD</v>
          </cell>
          <cell r="C68">
            <v>1</v>
          </cell>
          <cell r="L68">
            <v>51225000</v>
          </cell>
          <cell r="Q68">
            <v>2020</v>
          </cell>
        </row>
        <row r="69">
          <cell r="B69" t="str">
            <v>HMD</v>
          </cell>
          <cell r="C69">
            <v>2</v>
          </cell>
          <cell r="L69">
            <v>53100000</v>
          </cell>
          <cell r="Q69">
            <v>2020</v>
          </cell>
        </row>
        <row r="70">
          <cell r="B70" t="str">
            <v>HMD</v>
          </cell>
          <cell r="C70">
            <v>2</v>
          </cell>
          <cell r="L70">
            <v>53100000</v>
          </cell>
          <cell r="Q70">
            <v>2020</v>
          </cell>
        </row>
        <row r="71">
          <cell r="B71" t="str">
            <v>HMD</v>
          </cell>
          <cell r="C71">
            <v>1</v>
          </cell>
          <cell r="L71">
            <v>36600000</v>
          </cell>
          <cell r="Q71">
            <v>2020</v>
          </cell>
        </row>
        <row r="72">
          <cell r="B72" t="str">
            <v>조선</v>
          </cell>
          <cell r="C72">
            <v>1</v>
          </cell>
          <cell r="L72">
            <v>87000000</v>
          </cell>
          <cell r="Q72">
            <v>2020</v>
          </cell>
        </row>
        <row r="73">
          <cell r="B73" t="str">
            <v>조선</v>
          </cell>
          <cell r="C73">
            <v>1</v>
          </cell>
          <cell r="L73">
            <v>87000000</v>
          </cell>
          <cell r="Q73">
            <v>2020</v>
          </cell>
        </row>
        <row r="74">
          <cell r="B74" t="str">
            <v>조선</v>
          </cell>
          <cell r="C74">
            <v>1</v>
          </cell>
          <cell r="L74">
            <v>87000000</v>
          </cell>
          <cell r="Q74">
            <v>2020</v>
          </cell>
        </row>
      </sheetData>
      <sheetData sheetId="4">
        <row r="6">
          <cell r="B6" t="str">
            <v>조선</v>
          </cell>
          <cell r="C6">
            <v>1</v>
          </cell>
          <cell r="K6" t="str">
            <v>P1</v>
          </cell>
          <cell r="L6">
            <v>76000000</v>
          </cell>
          <cell r="Q6">
            <v>2020</v>
          </cell>
          <cell r="R6">
            <v>43838</v>
          </cell>
          <cell r="T6" t="str">
            <v>LPG1</v>
          </cell>
          <cell r="AC6">
            <v>1</v>
          </cell>
          <cell r="AE6" t="str">
            <v>SCRUBBER</v>
          </cell>
        </row>
        <row r="7">
          <cell r="B7" t="str">
            <v>조선</v>
          </cell>
          <cell r="C7">
            <v>1</v>
          </cell>
          <cell r="K7" t="str">
            <v>P1</v>
          </cell>
          <cell r="L7">
            <v>76000000</v>
          </cell>
          <cell r="Q7">
            <v>2020</v>
          </cell>
          <cell r="R7">
            <v>43885</v>
          </cell>
          <cell r="T7" t="str">
            <v>LPG1</v>
          </cell>
          <cell r="AC7">
            <v>1</v>
          </cell>
          <cell r="AE7" t="str">
            <v>SCRUBBER</v>
          </cell>
        </row>
        <row r="9">
          <cell r="B9" t="str">
            <v>조선</v>
          </cell>
          <cell r="C9">
            <v>1</v>
          </cell>
          <cell r="K9" t="str">
            <v>P1</v>
          </cell>
          <cell r="L9">
            <v>80800000</v>
          </cell>
          <cell r="Q9">
            <v>2020</v>
          </cell>
          <cell r="R9">
            <v>43906</v>
          </cell>
          <cell r="T9" t="str">
            <v>LPG1</v>
          </cell>
          <cell r="AC9">
            <v>1</v>
          </cell>
          <cell r="AE9" t="str">
            <v>LPG DF</v>
          </cell>
        </row>
        <row r="11">
          <cell r="B11" t="str">
            <v>HMD</v>
          </cell>
          <cell r="C11">
            <v>1</v>
          </cell>
          <cell r="K11" t="str">
            <v>PC2</v>
          </cell>
          <cell r="L11">
            <v>38650000</v>
          </cell>
          <cell r="Q11">
            <v>2020</v>
          </cell>
          <cell r="R11">
            <v>43839</v>
          </cell>
          <cell r="T11" t="str">
            <v>PC</v>
          </cell>
          <cell r="AC11">
            <v>1</v>
          </cell>
          <cell r="AE11" t="str">
            <v>SCRUBBER READY</v>
          </cell>
        </row>
        <row r="13">
          <cell r="B13" t="str">
            <v>HVS</v>
          </cell>
          <cell r="C13">
            <v>1</v>
          </cell>
          <cell r="K13" t="str">
            <v>PC2</v>
          </cell>
          <cell r="L13">
            <v>35579000</v>
          </cell>
          <cell r="Q13">
            <v>2020</v>
          </cell>
          <cell r="R13">
            <v>43850</v>
          </cell>
          <cell r="T13" t="str">
            <v>PC</v>
          </cell>
          <cell r="AC13">
            <v>1</v>
          </cell>
          <cell r="AE13" t="str">
            <v>SCRUBBER OPTION</v>
          </cell>
        </row>
        <row r="14">
          <cell r="B14" t="str">
            <v>HVS</v>
          </cell>
          <cell r="C14">
            <v>1</v>
          </cell>
          <cell r="K14" t="str">
            <v>PC2</v>
          </cell>
          <cell r="L14">
            <v>35579000</v>
          </cell>
          <cell r="Q14">
            <v>2020</v>
          </cell>
          <cell r="R14">
            <v>43850</v>
          </cell>
          <cell r="T14" t="str">
            <v>PC</v>
          </cell>
          <cell r="AC14">
            <v>1</v>
          </cell>
          <cell r="AE14" t="str">
            <v>SCRUBBER OPTION</v>
          </cell>
        </row>
        <row r="15">
          <cell r="B15" t="str">
            <v>HVS</v>
          </cell>
          <cell r="C15">
            <v>1</v>
          </cell>
          <cell r="K15" t="str">
            <v>PC2</v>
          </cell>
          <cell r="L15">
            <v>33950000</v>
          </cell>
          <cell r="Q15">
            <v>2020</v>
          </cell>
          <cell r="R15">
            <v>43850</v>
          </cell>
          <cell r="T15" t="str">
            <v>PC</v>
          </cell>
          <cell r="AC15">
            <v>1</v>
          </cell>
          <cell r="AE15" t="str">
            <v>SCRUBBER OPTION</v>
          </cell>
        </row>
        <row r="16">
          <cell r="B16" t="str">
            <v>HVS</v>
          </cell>
          <cell r="C16">
            <v>1</v>
          </cell>
          <cell r="K16" t="str">
            <v>PC2</v>
          </cell>
          <cell r="L16">
            <v>33950000</v>
          </cell>
          <cell r="Q16">
            <v>2020</v>
          </cell>
          <cell r="R16">
            <v>43850</v>
          </cell>
          <cell r="T16" t="str">
            <v>PC</v>
          </cell>
          <cell r="AC16">
            <v>1</v>
          </cell>
          <cell r="AE16" t="str">
            <v>SCRUBBER OPTION</v>
          </cell>
        </row>
        <row r="18">
          <cell r="B18" t="str">
            <v>삼호</v>
          </cell>
          <cell r="C18">
            <v>1</v>
          </cell>
          <cell r="K18" t="str">
            <v>T1</v>
          </cell>
          <cell r="L18">
            <v>94200000</v>
          </cell>
          <cell r="Q18">
            <v>2020</v>
          </cell>
          <cell r="R18">
            <v>43850</v>
          </cell>
          <cell r="T18" t="str">
            <v>TD1</v>
          </cell>
          <cell r="AC18">
            <v>1</v>
          </cell>
        </row>
        <row r="20">
          <cell r="B20" t="str">
            <v>삼호</v>
          </cell>
          <cell r="C20">
            <v>1</v>
          </cell>
          <cell r="K20" t="str">
            <v>N1</v>
          </cell>
          <cell r="L20">
            <v>186423000</v>
          </cell>
          <cell r="Q20">
            <v>2020</v>
          </cell>
          <cell r="R20">
            <v>44042</v>
          </cell>
          <cell r="T20" t="str">
            <v>LNG2</v>
          </cell>
          <cell r="AC20">
            <v>1</v>
          </cell>
          <cell r="AE20" t="str">
            <v>XDF</v>
          </cell>
        </row>
        <row r="21">
          <cell r="B21" t="str">
            <v>삼호</v>
          </cell>
          <cell r="C21">
            <v>1</v>
          </cell>
          <cell r="K21" t="str">
            <v>N1</v>
          </cell>
          <cell r="L21">
            <v>186423000</v>
          </cell>
          <cell r="Q21">
            <v>2020</v>
          </cell>
          <cell r="R21">
            <v>44042</v>
          </cell>
          <cell r="T21" t="str">
            <v>LNG2</v>
          </cell>
          <cell r="AC21">
            <v>1</v>
          </cell>
          <cell r="AE21" t="str">
            <v>XDF</v>
          </cell>
        </row>
        <row r="23">
          <cell r="B23" t="str">
            <v>HMD</v>
          </cell>
          <cell r="C23">
            <v>1</v>
          </cell>
          <cell r="K23" t="str">
            <v>PC2</v>
          </cell>
          <cell r="L23">
            <v>37791000</v>
          </cell>
          <cell r="Q23">
            <v>2020</v>
          </cell>
          <cell r="R23">
            <v>43851</v>
          </cell>
          <cell r="T23" t="str">
            <v>PC</v>
          </cell>
          <cell r="AC23">
            <v>1</v>
          </cell>
        </row>
        <row r="24">
          <cell r="B24" t="str">
            <v>HMD</v>
          </cell>
          <cell r="C24">
            <v>1</v>
          </cell>
          <cell r="K24" t="str">
            <v>PC2</v>
          </cell>
          <cell r="L24">
            <v>37791000</v>
          </cell>
          <cell r="Q24">
            <v>2020</v>
          </cell>
          <cell r="R24">
            <v>43851</v>
          </cell>
          <cell r="T24" t="str">
            <v>PC</v>
          </cell>
          <cell r="AC24">
            <v>1</v>
          </cell>
        </row>
        <row r="26">
          <cell r="B26" t="str">
            <v>HMD</v>
          </cell>
          <cell r="C26">
            <v>1</v>
          </cell>
          <cell r="K26" t="str">
            <v>PC2</v>
          </cell>
          <cell r="L26">
            <v>37340000</v>
          </cell>
          <cell r="Q26">
            <v>2020</v>
          </cell>
          <cell r="R26">
            <v>43887</v>
          </cell>
          <cell r="T26" t="str">
            <v>PC</v>
          </cell>
          <cell r="AC26">
            <v>1</v>
          </cell>
        </row>
        <row r="28">
          <cell r="B28" t="str">
            <v>HVS</v>
          </cell>
          <cell r="C28">
            <v>1</v>
          </cell>
          <cell r="K28" t="str">
            <v>PC2</v>
          </cell>
          <cell r="L28">
            <v>34100000</v>
          </cell>
          <cell r="Q28">
            <v>2020</v>
          </cell>
          <cell r="R28">
            <v>43873</v>
          </cell>
          <cell r="T28" t="str">
            <v>PC</v>
          </cell>
          <cell r="AC28">
            <v>1</v>
          </cell>
          <cell r="AE28" t="str">
            <v>NONE</v>
          </cell>
        </row>
        <row r="30">
          <cell r="B30" t="str">
            <v>HMD</v>
          </cell>
          <cell r="C30">
            <v>1</v>
          </cell>
          <cell r="K30" t="str">
            <v>PC2</v>
          </cell>
          <cell r="L30">
            <v>41227000</v>
          </cell>
          <cell r="Q30">
            <v>2020</v>
          </cell>
          <cell r="R30">
            <v>43903</v>
          </cell>
          <cell r="T30" t="str">
            <v>LPG2</v>
          </cell>
          <cell r="AC30">
            <v>1</v>
          </cell>
          <cell r="AE30" t="str">
            <v>METHANOL DF</v>
          </cell>
        </row>
        <row r="31">
          <cell r="B31" t="str">
            <v>HMD</v>
          </cell>
          <cell r="C31">
            <v>1</v>
          </cell>
          <cell r="K31" t="str">
            <v>PC2</v>
          </cell>
          <cell r="L31">
            <v>41227000</v>
          </cell>
          <cell r="Q31">
            <v>2020</v>
          </cell>
          <cell r="R31">
            <v>43906</v>
          </cell>
          <cell r="T31" t="str">
            <v>LPG2</v>
          </cell>
          <cell r="AC31">
            <v>1</v>
          </cell>
          <cell r="AE31" t="str">
            <v>METHANOL DF</v>
          </cell>
        </row>
        <row r="32">
          <cell r="B32" t="str">
            <v>HMD</v>
          </cell>
          <cell r="C32">
            <v>1</v>
          </cell>
          <cell r="K32" t="str">
            <v>PC2</v>
          </cell>
          <cell r="L32">
            <v>41227000</v>
          </cell>
          <cell r="Q32">
            <v>2020</v>
          </cell>
          <cell r="R32">
            <v>43903</v>
          </cell>
          <cell r="T32" t="str">
            <v>LPG2</v>
          </cell>
          <cell r="AC32">
            <v>1</v>
          </cell>
          <cell r="AE32" t="str">
            <v>METHANOL DF</v>
          </cell>
        </row>
        <row r="33">
          <cell r="B33" t="str">
            <v>HMD</v>
          </cell>
          <cell r="C33">
            <v>1</v>
          </cell>
          <cell r="K33" t="str">
            <v>PC2</v>
          </cell>
          <cell r="L33">
            <v>41227000</v>
          </cell>
          <cell r="Q33">
            <v>2020</v>
          </cell>
          <cell r="R33">
            <v>43906</v>
          </cell>
          <cell r="T33" t="str">
            <v>LPG2</v>
          </cell>
          <cell r="AC33">
            <v>1</v>
          </cell>
          <cell r="AE33" t="str">
            <v>METHANOL DF</v>
          </cell>
        </row>
        <row r="34">
          <cell r="B34" t="str">
            <v>HMD</v>
          </cell>
          <cell r="C34">
            <v>1</v>
          </cell>
          <cell r="K34" t="str">
            <v>PC2</v>
          </cell>
          <cell r="L34">
            <v>41227000</v>
          </cell>
          <cell r="Q34">
            <v>2020</v>
          </cell>
          <cell r="R34">
            <v>43903</v>
          </cell>
          <cell r="T34" t="str">
            <v>LPG2</v>
          </cell>
          <cell r="AC34">
            <v>1</v>
          </cell>
          <cell r="AE34" t="str">
            <v>METHANOL DF</v>
          </cell>
        </row>
        <row r="36">
          <cell r="B36" t="str">
            <v>HMD</v>
          </cell>
          <cell r="C36">
            <v>1</v>
          </cell>
          <cell r="K36" t="str">
            <v>PC2</v>
          </cell>
          <cell r="L36">
            <v>41028000</v>
          </cell>
          <cell r="Q36">
            <v>2020</v>
          </cell>
          <cell r="R36">
            <v>43927</v>
          </cell>
          <cell r="T36" t="str">
            <v>LPG2</v>
          </cell>
          <cell r="AC36">
            <v>1</v>
          </cell>
          <cell r="AE36" t="str">
            <v>METHANOL DF</v>
          </cell>
        </row>
        <row r="38">
          <cell r="B38" t="str">
            <v>조선</v>
          </cell>
          <cell r="C38">
            <v>1</v>
          </cell>
          <cell r="L38">
            <v>3319000</v>
          </cell>
          <cell r="Q38">
            <v>2020</v>
          </cell>
          <cell r="R38">
            <v>43921</v>
          </cell>
        </row>
        <row r="39">
          <cell r="B39" t="str">
            <v>삼호</v>
          </cell>
          <cell r="C39">
            <v>1</v>
          </cell>
          <cell r="L39">
            <v>26227000</v>
          </cell>
          <cell r="Q39">
            <v>2020</v>
          </cell>
          <cell r="R39">
            <v>43921</v>
          </cell>
        </row>
        <row r="40">
          <cell r="B40" t="str">
            <v>HMD</v>
          </cell>
          <cell r="C40">
            <v>1</v>
          </cell>
          <cell r="L40">
            <v>33959000</v>
          </cell>
          <cell r="Q40">
            <v>2020</v>
          </cell>
          <cell r="R40">
            <v>43921</v>
          </cell>
        </row>
        <row r="42">
          <cell r="B42" t="str">
            <v>조선</v>
          </cell>
          <cell r="C42">
            <v>1</v>
          </cell>
          <cell r="K42" t="str">
            <v>T2</v>
          </cell>
          <cell r="L42">
            <v>61000000</v>
          </cell>
          <cell r="Q42">
            <v>2020</v>
          </cell>
          <cell r="R42">
            <v>43957</v>
          </cell>
          <cell r="T42" t="str">
            <v>TD1</v>
          </cell>
          <cell r="AC42">
            <v>1</v>
          </cell>
          <cell r="AE42" t="str">
            <v>선물환</v>
          </cell>
        </row>
        <row r="43">
          <cell r="B43" t="str">
            <v>조선</v>
          </cell>
          <cell r="C43">
            <v>1</v>
          </cell>
          <cell r="K43" t="str">
            <v>T2</v>
          </cell>
          <cell r="L43">
            <v>61000000</v>
          </cell>
          <cell r="Q43">
            <v>2020</v>
          </cell>
          <cell r="R43">
            <v>43957</v>
          </cell>
          <cell r="T43" t="str">
            <v>TD1</v>
          </cell>
          <cell r="AC43">
            <v>1</v>
          </cell>
          <cell r="AE43" t="str">
            <v>선물환</v>
          </cell>
        </row>
        <row r="45">
          <cell r="B45" t="str">
            <v>조선</v>
          </cell>
          <cell r="C45">
            <v>1</v>
          </cell>
          <cell r="K45" t="str">
            <v>T2</v>
          </cell>
          <cell r="L45">
            <v>87000000</v>
          </cell>
          <cell r="Q45">
            <v>2020</v>
          </cell>
          <cell r="R45">
            <v>44135</v>
          </cell>
          <cell r="T45" t="str">
            <v>TD2</v>
          </cell>
          <cell r="AC45">
            <v>1</v>
          </cell>
          <cell r="AE45" t="str">
            <v>SCRUBBER</v>
          </cell>
        </row>
        <row r="46">
          <cell r="B46" t="str">
            <v>조선</v>
          </cell>
          <cell r="C46">
            <v>1</v>
          </cell>
          <cell r="K46" t="str">
            <v>T2</v>
          </cell>
          <cell r="L46">
            <v>87000000</v>
          </cell>
          <cell r="Q46">
            <v>2020</v>
          </cell>
          <cell r="R46">
            <v>44135</v>
          </cell>
          <cell r="T46" t="str">
            <v>TD2</v>
          </cell>
          <cell r="AC46">
            <v>1</v>
          </cell>
          <cell r="AE46" t="str">
            <v>SCRUBBER</v>
          </cell>
        </row>
        <row r="48">
          <cell r="B48" t="str">
            <v>HMD</v>
          </cell>
          <cell r="C48">
            <v>1</v>
          </cell>
          <cell r="K48" t="str">
            <v>PC2</v>
          </cell>
          <cell r="L48">
            <v>36300000</v>
          </cell>
          <cell r="Q48">
            <v>2020</v>
          </cell>
          <cell r="R48">
            <v>44116</v>
          </cell>
          <cell r="T48" t="str">
            <v>CONT</v>
          </cell>
          <cell r="AC48">
            <v>1</v>
          </cell>
        </row>
        <row r="50">
          <cell r="B50" t="str">
            <v>조선</v>
          </cell>
          <cell r="C50">
            <v>1</v>
          </cell>
          <cell r="K50" t="str">
            <v>T1</v>
          </cell>
          <cell r="L50">
            <v>91000000</v>
          </cell>
          <cell r="Q50">
            <v>2020</v>
          </cell>
          <cell r="R50">
            <v>43971</v>
          </cell>
          <cell r="T50" t="str">
            <v>TD1</v>
          </cell>
          <cell r="AC50">
            <v>1</v>
          </cell>
          <cell r="AE50" t="str">
            <v>SCRUBBER</v>
          </cell>
        </row>
        <row r="51">
          <cell r="B51" t="str">
            <v>조선</v>
          </cell>
          <cell r="C51">
            <v>1</v>
          </cell>
          <cell r="K51" t="str">
            <v>T1</v>
          </cell>
          <cell r="L51">
            <v>91000000</v>
          </cell>
          <cell r="Q51">
            <v>2020</v>
          </cell>
          <cell r="R51">
            <v>43971</v>
          </cell>
          <cell r="T51" t="str">
            <v>TD1</v>
          </cell>
          <cell r="AC51">
            <v>1</v>
          </cell>
          <cell r="AE51" t="str">
            <v>SCRUBBER</v>
          </cell>
        </row>
        <row r="53">
          <cell r="B53" t="str">
            <v>조선</v>
          </cell>
          <cell r="C53">
            <v>1</v>
          </cell>
          <cell r="K53" t="str">
            <v>T1</v>
          </cell>
          <cell r="L53">
            <v>87500000</v>
          </cell>
          <cell r="Q53">
            <v>2020</v>
          </cell>
          <cell r="R53">
            <v>44099</v>
          </cell>
          <cell r="T53" t="str">
            <v>TD1</v>
          </cell>
          <cell r="AC53">
            <v>1</v>
          </cell>
          <cell r="AE53" t="str">
            <v>SCRUBBER</v>
          </cell>
        </row>
        <row r="54">
          <cell r="B54" t="str">
            <v>조선</v>
          </cell>
          <cell r="C54">
            <v>1</v>
          </cell>
          <cell r="K54" t="str">
            <v>T1</v>
          </cell>
          <cell r="L54">
            <v>87500000</v>
          </cell>
          <cell r="Q54">
            <v>2020</v>
          </cell>
          <cell r="R54">
            <v>44100</v>
          </cell>
          <cell r="T54" t="str">
            <v>TD1</v>
          </cell>
          <cell r="AC54">
            <v>1</v>
          </cell>
          <cell r="AE54" t="str">
            <v>SCRUBBER</v>
          </cell>
        </row>
        <row r="56">
          <cell r="B56" t="str">
            <v>조선</v>
          </cell>
          <cell r="C56">
            <v>1</v>
          </cell>
          <cell r="K56" t="str">
            <v>N1</v>
          </cell>
          <cell r="L56">
            <v>186423000</v>
          </cell>
          <cell r="Q56">
            <v>2020</v>
          </cell>
          <cell r="R56">
            <v>44042</v>
          </cell>
          <cell r="T56" t="str">
            <v>LNG2</v>
          </cell>
          <cell r="AC56">
            <v>1</v>
          </cell>
          <cell r="AE56" t="str">
            <v>XDF</v>
          </cell>
        </row>
        <row r="57">
          <cell r="B57" t="str">
            <v>조선</v>
          </cell>
          <cell r="C57">
            <v>1</v>
          </cell>
          <cell r="K57" t="str">
            <v>N1</v>
          </cell>
          <cell r="L57">
            <v>186423000</v>
          </cell>
          <cell r="Q57">
            <v>2020</v>
          </cell>
          <cell r="R57">
            <v>44042</v>
          </cell>
          <cell r="T57" t="str">
            <v>LNG2</v>
          </cell>
          <cell r="AC57">
            <v>1</v>
          </cell>
          <cell r="AE57" t="str">
            <v>XDF</v>
          </cell>
        </row>
        <row r="59">
          <cell r="B59" t="str">
            <v>HMD</v>
          </cell>
          <cell r="C59">
            <v>1</v>
          </cell>
          <cell r="K59" t="str">
            <v>PC3</v>
          </cell>
          <cell r="L59">
            <v>52550000</v>
          </cell>
          <cell r="Q59">
            <v>2020</v>
          </cell>
          <cell r="R59">
            <v>43978</v>
          </cell>
          <cell r="T59" t="str">
            <v>LPG2</v>
          </cell>
          <cell r="AC59">
            <v>1</v>
          </cell>
          <cell r="AE59" t="str">
            <v>LPG DF</v>
          </cell>
        </row>
        <row r="60">
          <cell r="B60" t="str">
            <v>HMD</v>
          </cell>
          <cell r="C60">
            <v>1</v>
          </cell>
          <cell r="K60" t="str">
            <v>PC3</v>
          </cell>
          <cell r="L60">
            <v>52550000</v>
          </cell>
          <cell r="Q60">
            <v>2020</v>
          </cell>
          <cell r="R60">
            <v>43978</v>
          </cell>
          <cell r="T60" t="str">
            <v>LPG2</v>
          </cell>
          <cell r="AC60">
            <v>1</v>
          </cell>
          <cell r="AE60" t="str">
            <v>LPG DF</v>
          </cell>
        </row>
        <row r="61">
          <cell r="B61" t="str">
            <v>HMD</v>
          </cell>
          <cell r="C61">
            <v>1</v>
          </cell>
          <cell r="K61" t="str">
            <v>PC3</v>
          </cell>
          <cell r="L61">
            <v>52550000</v>
          </cell>
          <cell r="Q61">
            <v>2020</v>
          </cell>
          <cell r="R61">
            <v>43978</v>
          </cell>
          <cell r="T61" t="str">
            <v>LPG2</v>
          </cell>
          <cell r="AC61">
            <v>1</v>
          </cell>
          <cell r="AE61" t="str">
            <v>LPG DF</v>
          </cell>
        </row>
        <row r="62">
          <cell r="B62" t="str">
            <v>HMD</v>
          </cell>
          <cell r="C62">
            <v>1</v>
          </cell>
          <cell r="K62" t="str">
            <v>PC3</v>
          </cell>
          <cell r="L62">
            <v>52550000</v>
          </cell>
          <cell r="Q62">
            <v>2020</v>
          </cell>
          <cell r="R62">
            <v>44119</v>
          </cell>
          <cell r="T62" t="str">
            <v>LPG2</v>
          </cell>
          <cell r="AC62">
            <v>1</v>
          </cell>
        </row>
        <row r="64">
          <cell r="B64" t="str">
            <v>HMD</v>
          </cell>
          <cell r="C64">
            <v>1</v>
          </cell>
          <cell r="K64" t="str">
            <v>PC2</v>
          </cell>
          <cell r="L64">
            <v>34125000</v>
          </cell>
          <cell r="Q64">
            <v>2020</v>
          </cell>
          <cell r="R64">
            <v>44041</v>
          </cell>
          <cell r="T64" t="str">
            <v>PC</v>
          </cell>
          <cell r="AC64">
            <v>1</v>
          </cell>
        </row>
        <row r="65">
          <cell r="B65" t="str">
            <v>HMD</v>
          </cell>
          <cell r="C65">
            <v>1</v>
          </cell>
          <cell r="K65" t="str">
            <v>PC2</v>
          </cell>
          <cell r="L65">
            <v>34125000</v>
          </cell>
          <cell r="Q65">
            <v>2020</v>
          </cell>
          <cell r="R65">
            <v>44041</v>
          </cell>
          <cell r="T65" t="str">
            <v>PC</v>
          </cell>
          <cell r="AC65">
            <v>1</v>
          </cell>
        </row>
        <row r="67">
          <cell r="B67" t="str">
            <v>HMD</v>
          </cell>
          <cell r="C67">
            <v>1</v>
          </cell>
          <cell r="K67" t="str">
            <v>PC2</v>
          </cell>
          <cell r="L67">
            <v>36125700</v>
          </cell>
          <cell r="Q67">
            <v>2020</v>
          </cell>
          <cell r="R67">
            <v>43980</v>
          </cell>
          <cell r="T67" t="str">
            <v>PC</v>
          </cell>
          <cell r="AC67">
            <v>1</v>
          </cell>
        </row>
        <row r="68">
          <cell r="B68" t="str">
            <v>HMD</v>
          </cell>
          <cell r="C68">
            <v>1</v>
          </cell>
          <cell r="K68" t="str">
            <v>PC2</v>
          </cell>
          <cell r="L68">
            <v>35825700</v>
          </cell>
          <cell r="Q68">
            <v>2020</v>
          </cell>
          <cell r="R68">
            <v>43981</v>
          </cell>
          <cell r="T68" t="str">
            <v>PC</v>
          </cell>
          <cell r="AC68">
            <v>1</v>
          </cell>
        </row>
        <row r="69">
          <cell r="B69" t="str">
            <v>HMD</v>
          </cell>
          <cell r="C69">
            <v>1</v>
          </cell>
          <cell r="K69" t="str">
            <v>PC2</v>
          </cell>
          <cell r="L69">
            <v>35200000</v>
          </cell>
          <cell r="Q69">
            <v>2020</v>
          </cell>
          <cell r="R69">
            <v>44116</v>
          </cell>
          <cell r="T69" t="str">
            <v>PC</v>
          </cell>
          <cell r="AC69">
            <v>1</v>
          </cell>
        </row>
        <row r="70">
          <cell r="B70" t="str">
            <v>HMD</v>
          </cell>
          <cell r="C70">
            <v>1</v>
          </cell>
          <cell r="K70" t="str">
            <v>PC2</v>
          </cell>
          <cell r="L70">
            <v>35400000</v>
          </cell>
          <cell r="Q70">
            <v>2020</v>
          </cell>
          <cell r="R70">
            <v>44116</v>
          </cell>
          <cell r="T70" t="str">
            <v>PC</v>
          </cell>
          <cell r="AC70">
            <v>1</v>
          </cell>
        </row>
        <row r="72">
          <cell r="B72" t="str">
            <v>HMD</v>
          </cell>
          <cell r="C72">
            <v>1</v>
          </cell>
          <cell r="K72" t="str">
            <v>O9</v>
          </cell>
          <cell r="L72">
            <v>29924242</v>
          </cell>
          <cell r="Q72">
            <v>2020</v>
          </cell>
          <cell r="R72">
            <v>44006</v>
          </cell>
          <cell r="T72" t="str">
            <v>TD2</v>
          </cell>
          <cell r="AC72">
            <v>1</v>
          </cell>
        </row>
        <row r="74">
          <cell r="B74" t="str">
            <v>HMD</v>
          </cell>
          <cell r="C74">
            <v>1</v>
          </cell>
          <cell r="K74" t="str">
            <v>PC2</v>
          </cell>
          <cell r="L74">
            <v>36000000</v>
          </cell>
          <cell r="Q74">
            <v>2020</v>
          </cell>
          <cell r="R74">
            <v>43987</v>
          </cell>
          <cell r="T74" t="str">
            <v>PC</v>
          </cell>
          <cell r="AC74">
            <v>1</v>
          </cell>
        </row>
        <row r="76">
          <cell r="B76" t="str">
            <v>삼호</v>
          </cell>
          <cell r="K76" t="str">
            <v>T2</v>
          </cell>
          <cell r="L76">
            <v>62150000</v>
          </cell>
          <cell r="Q76">
            <v>2020</v>
          </cell>
          <cell r="R76">
            <v>44012</v>
          </cell>
          <cell r="T76" t="str">
            <v>TD1</v>
          </cell>
          <cell r="AC76">
            <v>1</v>
          </cell>
          <cell r="AE76" t="str">
            <v>SCRUBBER</v>
          </cell>
        </row>
        <row r="78">
          <cell r="B78" t="str">
            <v>HMD</v>
          </cell>
          <cell r="C78">
            <v>1</v>
          </cell>
          <cell r="K78" t="str">
            <v>PC2</v>
          </cell>
          <cell r="L78">
            <v>35650000</v>
          </cell>
          <cell r="Q78">
            <v>2020</v>
          </cell>
          <cell r="R78">
            <v>44029</v>
          </cell>
          <cell r="T78" t="str">
            <v>CONT</v>
          </cell>
          <cell r="AC78">
            <v>1</v>
          </cell>
        </row>
        <row r="79">
          <cell r="B79" t="str">
            <v>HMD</v>
          </cell>
          <cell r="C79">
            <v>1</v>
          </cell>
          <cell r="K79" t="str">
            <v>PC2</v>
          </cell>
          <cell r="L79">
            <v>35650000</v>
          </cell>
          <cell r="Q79">
            <v>2020</v>
          </cell>
          <cell r="R79">
            <v>44029</v>
          </cell>
          <cell r="T79" t="str">
            <v>CONT</v>
          </cell>
          <cell r="AC79">
            <v>1</v>
          </cell>
        </row>
        <row r="81">
          <cell r="B81" t="str">
            <v>HMD</v>
          </cell>
          <cell r="C81">
            <v>1</v>
          </cell>
          <cell r="K81" t="str">
            <v>PC2</v>
          </cell>
          <cell r="L81">
            <v>36000000</v>
          </cell>
          <cell r="Q81">
            <v>2020</v>
          </cell>
          <cell r="R81">
            <v>44032</v>
          </cell>
          <cell r="T81" t="str">
            <v>PC</v>
          </cell>
          <cell r="AC81">
            <v>1</v>
          </cell>
        </row>
        <row r="82">
          <cell r="B82" t="str">
            <v>HMD</v>
          </cell>
          <cell r="C82">
            <v>1</v>
          </cell>
          <cell r="K82" t="str">
            <v>PC2</v>
          </cell>
          <cell r="L82">
            <v>36000000</v>
          </cell>
          <cell r="Q82">
            <v>2020</v>
          </cell>
          <cell r="R82">
            <v>44032</v>
          </cell>
          <cell r="T82" t="str">
            <v>PC</v>
          </cell>
          <cell r="AC82">
            <v>1</v>
          </cell>
        </row>
        <row r="84">
          <cell r="B84" t="str">
            <v>HMD</v>
          </cell>
          <cell r="C84">
            <v>1</v>
          </cell>
          <cell r="K84" t="str">
            <v>O3</v>
          </cell>
          <cell r="L84">
            <v>90680000</v>
          </cell>
          <cell r="Q84">
            <v>2020</v>
          </cell>
          <cell r="R84">
            <v>44043</v>
          </cell>
          <cell r="T84" t="str">
            <v>TD2</v>
          </cell>
          <cell r="AC84">
            <v>1</v>
          </cell>
        </row>
        <row r="86">
          <cell r="B86" t="str">
            <v>조선</v>
          </cell>
          <cell r="C86">
            <v>1</v>
          </cell>
          <cell r="K86" t="str">
            <v>N1</v>
          </cell>
          <cell r="L86">
            <v>186444000</v>
          </cell>
          <cell r="Q86">
            <v>2020</v>
          </cell>
          <cell r="R86">
            <v>44026</v>
          </cell>
          <cell r="T86" t="str">
            <v>LNG2</v>
          </cell>
          <cell r="AC86">
            <v>1</v>
          </cell>
          <cell r="AE86" t="str">
            <v>XDF</v>
          </cell>
        </row>
        <row r="87">
          <cell r="B87" t="str">
            <v>조선</v>
          </cell>
          <cell r="C87">
            <v>1</v>
          </cell>
          <cell r="K87" t="str">
            <v>N1</v>
          </cell>
          <cell r="L87">
            <v>186444000</v>
          </cell>
          <cell r="Q87">
            <v>2020</v>
          </cell>
          <cell r="R87">
            <v>44026</v>
          </cell>
          <cell r="T87" t="str">
            <v>LNG2</v>
          </cell>
          <cell r="AC87">
            <v>1</v>
          </cell>
          <cell r="AE87" t="str">
            <v>XDF</v>
          </cell>
        </row>
        <row r="89">
          <cell r="B89" t="str">
            <v>조선</v>
          </cell>
          <cell r="C89">
            <v>1</v>
          </cell>
          <cell r="K89" t="str">
            <v>P1</v>
          </cell>
          <cell r="L89">
            <v>110000000</v>
          </cell>
          <cell r="Q89">
            <v>2020</v>
          </cell>
          <cell r="R89">
            <v>44067</v>
          </cell>
          <cell r="T89" t="str">
            <v>LPG1</v>
          </cell>
          <cell r="AC89">
            <v>1</v>
          </cell>
        </row>
        <row r="90">
          <cell r="B90" t="str">
            <v>조선</v>
          </cell>
          <cell r="C90">
            <v>1</v>
          </cell>
          <cell r="K90" t="str">
            <v>P1</v>
          </cell>
          <cell r="L90">
            <v>110000000</v>
          </cell>
          <cell r="Q90">
            <v>2020</v>
          </cell>
          <cell r="R90">
            <v>44067</v>
          </cell>
          <cell r="T90" t="str">
            <v>LPG1</v>
          </cell>
          <cell r="AC90">
            <v>1</v>
          </cell>
        </row>
        <row r="92">
          <cell r="B92" t="str">
            <v>HMD</v>
          </cell>
          <cell r="C92">
            <v>1</v>
          </cell>
          <cell r="K92" t="str">
            <v>PC2</v>
          </cell>
          <cell r="L92">
            <v>41000000</v>
          </cell>
          <cell r="Q92">
            <v>2020</v>
          </cell>
          <cell r="R92">
            <v>44063</v>
          </cell>
          <cell r="T92" t="str">
            <v>PC</v>
          </cell>
          <cell r="AC92">
            <v>1</v>
          </cell>
        </row>
        <row r="93">
          <cell r="B93" t="str">
            <v>HMD</v>
          </cell>
          <cell r="C93">
            <v>1</v>
          </cell>
          <cell r="K93" t="str">
            <v>PC2</v>
          </cell>
          <cell r="L93">
            <v>41000000</v>
          </cell>
          <cell r="Q93">
            <v>2020</v>
          </cell>
          <cell r="R93">
            <v>44063</v>
          </cell>
          <cell r="T93" t="str">
            <v>PC</v>
          </cell>
          <cell r="AC93">
            <v>1</v>
          </cell>
        </row>
        <row r="94">
          <cell r="B94" t="str">
            <v>HMD</v>
          </cell>
          <cell r="C94">
            <v>1</v>
          </cell>
          <cell r="K94" t="str">
            <v>PC2</v>
          </cell>
          <cell r="L94">
            <v>41000000</v>
          </cell>
          <cell r="Q94">
            <v>2020</v>
          </cell>
          <cell r="R94">
            <v>44063</v>
          </cell>
          <cell r="T94" t="str">
            <v>PC</v>
          </cell>
          <cell r="AC94">
            <v>1</v>
          </cell>
        </row>
        <row r="95">
          <cell r="B95" t="str">
            <v>HMD</v>
          </cell>
          <cell r="C95">
            <v>1</v>
          </cell>
          <cell r="K95" t="str">
            <v>PC2</v>
          </cell>
          <cell r="L95">
            <v>41000000</v>
          </cell>
          <cell r="Q95">
            <v>2020</v>
          </cell>
          <cell r="R95">
            <v>44063</v>
          </cell>
          <cell r="T95" t="str">
            <v>PC</v>
          </cell>
          <cell r="AC95">
            <v>1</v>
          </cell>
        </row>
        <row r="96">
          <cell r="B96" t="str">
            <v>HMD</v>
          </cell>
          <cell r="C96">
            <v>1</v>
          </cell>
          <cell r="K96" t="str">
            <v>PC2</v>
          </cell>
          <cell r="L96">
            <v>41000000</v>
          </cell>
          <cell r="Q96">
            <v>2020</v>
          </cell>
          <cell r="R96">
            <v>44063</v>
          </cell>
          <cell r="T96" t="str">
            <v>PC</v>
          </cell>
          <cell r="AC96">
            <v>1</v>
          </cell>
        </row>
        <row r="97">
          <cell r="B97" t="str">
            <v>HMD</v>
          </cell>
          <cell r="C97">
            <v>1</v>
          </cell>
          <cell r="K97" t="str">
            <v>PC2</v>
          </cell>
          <cell r="L97">
            <v>41000000</v>
          </cell>
          <cell r="Q97">
            <v>2020</v>
          </cell>
          <cell r="R97">
            <v>44063</v>
          </cell>
          <cell r="T97" t="str">
            <v>PC</v>
          </cell>
          <cell r="AC97">
            <v>1</v>
          </cell>
        </row>
        <row r="98">
          <cell r="B98" t="str">
            <v>HMD</v>
          </cell>
          <cell r="C98">
            <v>1</v>
          </cell>
          <cell r="K98" t="str">
            <v>PC2</v>
          </cell>
          <cell r="L98">
            <v>41000000</v>
          </cell>
          <cell r="Q98">
            <v>2020</v>
          </cell>
          <cell r="R98">
            <v>44063</v>
          </cell>
          <cell r="T98" t="str">
            <v>PC</v>
          </cell>
          <cell r="AC98">
            <v>1</v>
          </cell>
        </row>
        <row r="99">
          <cell r="B99" t="str">
            <v>HMD</v>
          </cell>
          <cell r="C99">
            <v>1</v>
          </cell>
          <cell r="K99" t="str">
            <v>PC2</v>
          </cell>
          <cell r="L99">
            <v>41000000</v>
          </cell>
          <cell r="Q99">
            <v>2020</v>
          </cell>
          <cell r="R99">
            <v>44063</v>
          </cell>
          <cell r="T99" t="str">
            <v>PC</v>
          </cell>
          <cell r="AC99">
            <v>1</v>
          </cell>
        </row>
        <row r="100">
          <cell r="B100" t="str">
            <v>HMD</v>
          </cell>
          <cell r="C100">
            <v>1</v>
          </cell>
          <cell r="K100" t="str">
            <v>PC2</v>
          </cell>
          <cell r="L100">
            <v>41000000</v>
          </cell>
          <cell r="Q100">
            <v>2020</v>
          </cell>
          <cell r="R100">
            <v>44063</v>
          </cell>
          <cell r="T100" t="str">
            <v>PC</v>
          </cell>
          <cell r="AC100">
            <v>1</v>
          </cell>
        </row>
        <row r="101">
          <cell r="B101" t="str">
            <v>HMD</v>
          </cell>
          <cell r="C101">
            <v>1</v>
          </cell>
          <cell r="K101" t="str">
            <v>PC2</v>
          </cell>
          <cell r="L101">
            <v>41000000</v>
          </cell>
          <cell r="Q101">
            <v>2020</v>
          </cell>
          <cell r="R101">
            <v>44063</v>
          </cell>
          <cell r="T101" t="str">
            <v>PC</v>
          </cell>
          <cell r="AC101">
            <v>1</v>
          </cell>
        </row>
        <row r="103">
          <cell r="B103" t="str">
            <v>조선</v>
          </cell>
          <cell r="C103">
            <v>1</v>
          </cell>
          <cell r="K103" t="str">
            <v>T1</v>
          </cell>
          <cell r="L103">
            <v>90820000</v>
          </cell>
          <cell r="Q103">
            <v>2020</v>
          </cell>
          <cell r="R103">
            <v>44099</v>
          </cell>
          <cell r="T103" t="str">
            <v>TD1</v>
          </cell>
          <cell r="AC103">
            <v>1</v>
          </cell>
        </row>
        <row r="104">
          <cell r="B104" t="str">
            <v>조선</v>
          </cell>
          <cell r="C104">
            <v>1</v>
          </cell>
          <cell r="K104" t="str">
            <v>T1</v>
          </cell>
          <cell r="L104">
            <v>90820000</v>
          </cell>
          <cell r="Q104">
            <v>2020</v>
          </cell>
          <cell r="R104">
            <v>44099</v>
          </cell>
          <cell r="T104" t="str">
            <v>TD1</v>
          </cell>
          <cell r="AC104">
            <v>1</v>
          </cell>
        </row>
        <row r="106">
          <cell r="B106" t="str">
            <v>HVS</v>
          </cell>
          <cell r="C106">
            <v>1</v>
          </cell>
          <cell r="K106" t="str">
            <v>PC2</v>
          </cell>
          <cell r="L106">
            <v>33787300</v>
          </cell>
          <cell r="Q106">
            <v>2020</v>
          </cell>
          <cell r="R106">
            <v>44070</v>
          </cell>
          <cell r="T106" t="str">
            <v>PC</v>
          </cell>
          <cell r="AC106">
            <v>1</v>
          </cell>
        </row>
        <row r="108">
          <cell r="B108" t="str">
            <v>HMD</v>
          </cell>
          <cell r="C108">
            <v>1</v>
          </cell>
          <cell r="K108" t="str">
            <v>PC3</v>
          </cell>
          <cell r="L108">
            <v>38000000</v>
          </cell>
          <cell r="Q108">
            <v>2020</v>
          </cell>
          <cell r="R108">
            <v>44104</v>
          </cell>
          <cell r="T108" t="str">
            <v>LPG2</v>
          </cell>
          <cell r="AC108">
            <v>1</v>
          </cell>
        </row>
        <row r="109">
          <cell r="B109" t="str">
            <v>HMD</v>
          </cell>
          <cell r="C109">
            <v>1</v>
          </cell>
          <cell r="K109" t="str">
            <v>PC3</v>
          </cell>
          <cell r="L109">
            <v>38000000</v>
          </cell>
          <cell r="Q109">
            <v>2020</v>
          </cell>
          <cell r="R109">
            <v>44104</v>
          </cell>
          <cell r="T109" t="str">
            <v>LPG2</v>
          </cell>
          <cell r="AC109">
            <v>1</v>
          </cell>
        </row>
        <row r="111">
          <cell r="B111" t="str">
            <v>HMD</v>
          </cell>
          <cell r="C111">
            <v>1</v>
          </cell>
          <cell r="K111" t="str">
            <v>N6</v>
          </cell>
          <cell r="L111">
            <v>60100000</v>
          </cell>
          <cell r="Q111">
            <v>2020</v>
          </cell>
          <cell r="R111">
            <v>44134</v>
          </cell>
          <cell r="T111" t="str">
            <v>LPG2</v>
          </cell>
          <cell r="AC111">
            <v>1</v>
          </cell>
          <cell r="AE111" t="str">
            <v>NONE</v>
          </cell>
        </row>
        <row r="113">
          <cell r="B113" t="str">
            <v>조선</v>
          </cell>
          <cell r="C113">
            <v>1</v>
          </cell>
          <cell r="K113" t="str">
            <v>N1</v>
          </cell>
          <cell r="L113">
            <v>187566100</v>
          </cell>
          <cell r="Q113">
            <v>2020</v>
          </cell>
          <cell r="R113">
            <v>44134</v>
          </cell>
          <cell r="T113" t="str">
            <v>LNG1</v>
          </cell>
          <cell r="AC113">
            <v>1</v>
          </cell>
          <cell r="AE113" t="str">
            <v>XDF</v>
          </cell>
        </row>
        <row r="114">
          <cell r="B114" t="str">
            <v>조선</v>
          </cell>
          <cell r="C114">
            <v>1</v>
          </cell>
          <cell r="K114" t="str">
            <v>N1</v>
          </cell>
          <cell r="L114">
            <v>187466100</v>
          </cell>
          <cell r="Q114">
            <v>2020</v>
          </cell>
          <cell r="R114">
            <v>44134</v>
          </cell>
          <cell r="T114" t="str">
            <v>LNG1</v>
          </cell>
          <cell r="AC114">
            <v>1</v>
          </cell>
          <cell r="AE114" t="str">
            <v>XDF</v>
          </cell>
        </row>
        <row r="117">
          <cell r="B117" t="str">
            <v>조선</v>
          </cell>
          <cell r="C117">
            <v>1</v>
          </cell>
          <cell r="K117" t="str">
            <v>T1</v>
          </cell>
          <cell r="L117">
            <v>89250000</v>
          </cell>
          <cell r="Q117">
            <v>2020</v>
          </cell>
          <cell r="R117">
            <v>44141</v>
          </cell>
          <cell r="T117" t="str">
            <v>TD1</v>
          </cell>
          <cell r="AC117">
            <v>1</v>
          </cell>
          <cell r="AE117" t="str">
            <v>SCRUBBER</v>
          </cell>
        </row>
        <row r="118">
          <cell r="B118" t="str">
            <v>조선</v>
          </cell>
          <cell r="C118">
            <v>1</v>
          </cell>
          <cell r="K118" t="str">
            <v>T1</v>
          </cell>
          <cell r="L118">
            <v>89250000</v>
          </cell>
          <cell r="Q118">
            <v>2020</v>
          </cell>
          <cell r="R118">
            <v>44141</v>
          </cell>
          <cell r="T118" t="str">
            <v>TD1</v>
          </cell>
          <cell r="AC118">
            <v>1</v>
          </cell>
          <cell r="AE118" t="str">
            <v>SCRUBBER</v>
          </cell>
        </row>
        <row r="120">
          <cell r="B120" t="str">
            <v>삼호</v>
          </cell>
          <cell r="C120">
            <v>1</v>
          </cell>
          <cell r="K120" t="str">
            <v>T1</v>
          </cell>
          <cell r="L120">
            <v>88400000</v>
          </cell>
          <cell r="Q120">
            <v>2020</v>
          </cell>
          <cell r="R120">
            <v>44151</v>
          </cell>
          <cell r="T120" t="str">
            <v>TD2</v>
          </cell>
          <cell r="AC120">
            <v>1</v>
          </cell>
          <cell r="AE120" t="str">
            <v>SCRUBBER</v>
          </cell>
        </row>
        <row r="121">
          <cell r="B121" t="str">
            <v>삼호</v>
          </cell>
          <cell r="C121">
            <v>1</v>
          </cell>
          <cell r="K121" t="str">
            <v>T1</v>
          </cell>
          <cell r="L121">
            <v>88400000</v>
          </cell>
          <cell r="Q121">
            <v>2020</v>
          </cell>
          <cell r="R121">
            <v>44151</v>
          </cell>
          <cell r="T121" t="str">
            <v>TD2</v>
          </cell>
          <cell r="AC121">
            <v>1</v>
          </cell>
          <cell r="AE121" t="str">
            <v>SCRUBBER</v>
          </cell>
        </row>
        <row r="122">
          <cell r="B122" t="str">
            <v>삼호</v>
          </cell>
          <cell r="C122">
            <v>1</v>
          </cell>
          <cell r="K122" t="str">
            <v>T1</v>
          </cell>
          <cell r="L122">
            <v>88400000</v>
          </cell>
          <cell r="Q122">
            <v>2020</v>
          </cell>
          <cell r="R122">
            <v>44151</v>
          </cell>
          <cell r="T122" t="str">
            <v>TD2</v>
          </cell>
          <cell r="AC122">
            <v>1</v>
          </cell>
          <cell r="AE122" t="str">
            <v>SCRUBBER</v>
          </cell>
        </row>
        <row r="124">
          <cell r="B124" t="str">
            <v>조선</v>
          </cell>
          <cell r="C124">
            <v>1</v>
          </cell>
          <cell r="K124" t="str">
            <v>T1</v>
          </cell>
          <cell r="L124">
            <v>88400000</v>
          </cell>
          <cell r="Q124">
            <v>2020</v>
          </cell>
          <cell r="R124">
            <v>44151</v>
          </cell>
          <cell r="T124" t="str">
            <v>TD2</v>
          </cell>
          <cell r="AC124">
            <v>1</v>
          </cell>
          <cell r="AE124" t="str">
            <v>SCRUBBER</v>
          </cell>
        </row>
        <row r="125">
          <cell r="B125" t="str">
            <v>조선</v>
          </cell>
          <cell r="C125">
            <v>1</v>
          </cell>
          <cell r="K125" t="str">
            <v>T1</v>
          </cell>
          <cell r="L125">
            <v>88400000</v>
          </cell>
          <cell r="Q125">
            <v>2020</v>
          </cell>
          <cell r="R125">
            <v>44151</v>
          </cell>
          <cell r="T125" t="str">
            <v>TD2</v>
          </cell>
          <cell r="AC125">
            <v>1</v>
          </cell>
          <cell r="AE125" t="str">
            <v>SCRUBBER</v>
          </cell>
        </row>
        <row r="126">
          <cell r="B126" t="str">
            <v>조선</v>
          </cell>
          <cell r="C126">
            <v>1</v>
          </cell>
          <cell r="K126" t="str">
            <v>T1</v>
          </cell>
          <cell r="L126">
            <v>88400000</v>
          </cell>
          <cell r="Q126">
            <v>2020</v>
          </cell>
          <cell r="R126">
            <v>44151</v>
          </cell>
          <cell r="T126" t="str">
            <v>TD2</v>
          </cell>
          <cell r="AC126">
            <v>1</v>
          </cell>
          <cell r="AE126" t="str">
            <v>SCRUBBER</v>
          </cell>
        </row>
        <row r="127">
          <cell r="B127" t="str">
            <v>조선</v>
          </cell>
          <cell r="C127">
            <v>1</v>
          </cell>
          <cell r="K127" t="str">
            <v>T1</v>
          </cell>
          <cell r="L127">
            <v>88400000</v>
          </cell>
          <cell r="Q127">
            <v>2020</v>
          </cell>
          <cell r="R127">
            <v>44151</v>
          </cell>
          <cell r="T127" t="str">
            <v>TD2</v>
          </cell>
          <cell r="AC127">
            <v>1</v>
          </cell>
          <cell r="AE127" t="str">
            <v>SCRUBBER</v>
          </cell>
        </row>
        <row r="128">
          <cell r="B128" t="str">
            <v>조선</v>
          </cell>
          <cell r="C128">
            <v>1</v>
          </cell>
          <cell r="K128" t="str">
            <v>T1</v>
          </cell>
          <cell r="L128">
            <v>88400000</v>
          </cell>
          <cell r="Q128">
            <v>2020</v>
          </cell>
          <cell r="R128">
            <v>44151</v>
          </cell>
          <cell r="T128" t="str">
            <v>TD2</v>
          </cell>
          <cell r="AC128">
            <v>1</v>
          </cell>
          <cell r="AE128" t="str">
            <v>SCRUBBER</v>
          </cell>
        </row>
        <row r="129">
          <cell r="B129" t="str">
            <v>조선</v>
          </cell>
          <cell r="C129">
            <v>1</v>
          </cell>
          <cell r="K129" t="str">
            <v>T1</v>
          </cell>
          <cell r="L129">
            <v>88400000</v>
          </cell>
          <cell r="Q129">
            <v>2020</v>
          </cell>
          <cell r="R129">
            <v>44151</v>
          </cell>
          <cell r="T129" t="str">
            <v>TD2</v>
          </cell>
          <cell r="AC129">
            <v>1</v>
          </cell>
          <cell r="AE129" t="str">
            <v>SCRUBBER</v>
          </cell>
        </row>
        <row r="130">
          <cell r="B130" t="str">
            <v>조선</v>
          </cell>
          <cell r="C130">
            <v>1</v>
          </cell>
          <cell r="K130" t="str">
            <v>T1</v>
          </cell>
          <cell r="L130">
            <v>88400000</v>
          </cell>
          <cell r="Q130">
            <v>2020</v>
          </cell>
          <cell r="R130">
            <v>44151</v>
          </cell>
          <cell r="T130" t="str">
            <v>TD2</v>
          </cell>
          <cell r="AC130">
            <v>1</v>
          </cell>
          <cell r="AE130" t="str">
            <v>SCRUBBER</v>
          </cell>
        </row>
        <row r="132">
          <cell r="B132" t="str">
            <v>HMD</v>
          </cell>
          <cell r="C132">
            <v>1</v>
          </cell>
          <cell r="K132" t="str">
            <v>PC3</v>
          </cell>
          <cell r="L132">
            <v>51999000</v>
          </cell>
          <cell r="Q132">
            <v>2020</v>
          </cell>
          <cell r="R132">
            <v>44159</v>
          </cell>
          <cell r="T132" t="str">
            <v>LPG2</v>
          </cell>
          <cell r="AC132">
            <v>1</v>
          </cell>
          <cell r="AE132" t="str">
            <v>LPG DF</v>
          </cell>
        </row>
        <row r="133">
          <cell r="B133" t="str">
            <v>HMD</v>
          </cell>
          <cell r="C133">
            <v>1</v>
          </cell>
          <cell r="K133" t="str">
            <v>PC3</v>
          </cell>
          <cell r="L133">
            <v>51999000</v>
          </cell>
          <cell r="Q133">
            <v>2020</v>
          </cell>
          <cell r="R133">
            <v>44159</v>
          </cell>
          <cell r="T133" t="str">
            <v>LPG2</v>
          </cell>
          <cell r="AC133">
            <v>1</v>
          </cell>
          <cell r="AE133" t="str">
            <v>LPG DF</v>
          </cell>
        </row>
        <row r="135">
          <cell r="B135" t="str">
            <v>HMD</v>
          </cell>
          <cell r="C135">
            <v>1</v>
          </cell>
          <cell r="K135" t="str">
            <v>C7</v>
          </cell>
          <cell r="L135">
            <v>25050000</v>
          </cell>
          <cell r="Q135">
            <v>2020</v>
          </cell>
          <cell r="R135">
            <v>44161</v>
          </cell>
          <cell r="T135" t="str">
            <v>CONT</v>
          </cell>
          <cell r="AC135">
            <v>1</v>
          </cell>
          <cell r="AE135" t="str">
            <v>SCRUBBER (취소옵션)</v>
          </cell>
        </row>
        <row r="137">
          <cell r="B137" t="str">
            <v>HMD</v>
          </cell>
          <cell r="C137">
            <v>1</v>
          </cell>
          <cell r="K137" t="str">
            <v>PC3</v>
          </cell>
          <cell r="L137">
            <v>45700000</v>
          </cell>
          <cell r="Q137">
            <v>2020</v>
          </cell>
          <cell r="R137">
            <v>44167</v>
          </cell>
          <cell r="T137" t="str">
            <v>LPG2</v>
          </cell>
          <cell r="AC137">
            <v>1</v>
          </cell>
        </row>
        <row r="138">
          <cell r="B138" t="str">
            <v>HMD</v>
          </cell>
          <cell r="C138">
            <v>1</v>
          </cell>
          <cell r="K138" t="str">
            <v>PC3</v>
          </cell>
          <cell r="L138">
            <v>45700000</v>
          </cell>
          <cell r="Q138">
            <v>2020</v>
          </cell>
          <cell r="R138">
            <v>44167</v>
          </cell>
          <cell r="T138" t="str">
            <v>LPG2</v>
          </cell>
          <cell r="AC138">
            <v>1</v>
          </cell>
        </row>
        <row r="140">
          <cell r="B140" t="str">
            <v>삼호</v>
          </cell>
          <cell r="C140">
            <v>1</v>
          </cell>
          <cell r="K140" t="str">
            <v>T1</v>
          </cell>
          <cell r="L140">
            <v>90000000</v>
          </cell>
          <cell r="Q140">
            <v>2020</v>
          </cell>
          <cell r="R140">
            <v>44176</v>
          </cell>
          <cell r="T140" t="str">
            <v>TD1</v>
          </cell>
          <cell r="AC140">
            <v>1</v>
          </cell>
          <cell r="AE140" t="str">
            <v>SCRUBBER</v>
          </cell>
        </row>
        <row r="141">
          <cell r="B141" t="str">
            <v>삼호</v>
          </cell>
          <cell r="C141">
            <v>1</v>
          </cell>
          <cell r="K141" t="str">
            <v>T1</v>
          </cell>
          <cell r="L141">
            <v>90000000</v>
          </cell>
          <cell r="Q141">
            <v>2020</v>
          </cell>
          <cell r="R141">
            <v>44176</v>
          </cell>
          <cell r="T141" t="str">
            <v>TD1</v>
          </cell>
          <cell r="AC141">
            <v>1</v>
          </cell>
          <cell r="AE141" t="str">
            <v>SCRUBBER</v>
          </cell>
        </row>
        <row r="142">
          <cell r="B142" t="str">
            <v>삼호</v>
          </cell>
          <cell r="C142">
            <v>1</v>
          </cell>
          <cell r="K142" t="str">
            <v>T1</v>
          </cell>
          <cell r="L142">
            <v>90000000</v>
          </cell>
          <cell r="Q142">
            <v>2020</v>
          </cell>
          <cell r="R142">
            <v>44176</v>
          </cell>
          <cell r="T142" t="str">
            <v>TD1</v>
          </cell>
          <cell r="AC142">
            <v>1</v>
          </cell>
          <cell r="AE142" t="str">
            <v>SCRUBBER</v>
          </cell>
        </row>
        <row r="143">
          <cell r="B143" t="str">
            <v>삼호</v>
          </cell>
          <cell r="C143">
            <v>1</v>
          </cell>
          <cell r="K143" t="str">
            <v>T1</v>
          </cell>
          <cell r="L143">
            <v>90000000</v>
          </cell>
          <cell r="Q143">
            <v>2020</v>
          </cell>
          <cell r="R143">
            <v>44176</v>
          </cell>
          <cell r="T143" t="str">
            <v>TD1</v>
          </cell>
          <cell r="AC143">
            <v>1</v>
          </cell>
          <cell r="AE143" t="str">
            <v>SCRUBBER</v>
          </cell>
        </row>
        <row r="145">
          <cell r="B145" t="str">
            <v>삼호</v>
          </cell>
          <cell r="C145">
            <v>1</v>
          </cell>
          <cell r="K145" t="str">
            <v>T1</v>
          </cell>
          <cell r="L145">
            <v>89600000</v>
          </cell>
          <cell r="Q145">
            <v>2020</v>
          </cell>
          <cell r="R145">
            <v>44176</v>
          </cell>
          <cell r="T145" t="str">
            <v>TD2</v>
          </cell>
          <cell r="AC145">
            <v>1</v>
          </cell>
          <cell r="AE145" t="str">
            <v>SCRUBBER</v>
          </cell>
        </row>
        <row r="146">
          <cell r="B146" t="str">
            <v>삼호</v>
          </cell>
          <cell r="C146">
            <v>1</v>
          </cell>
          <cell r="K146" t="str">
            <v>T1</v>
          </cell>
          <cell r="L146">
            <v>89600000</v>
          </cell>
          <cell r="Q146">
            <v>2020</v>
          </cell>
          <cell r="R146">
            <v>44176</v>
          </cell>
          <cell r="T146" t="str">
            <v>TD2</v>
          </cell>
          <cell r="AC146">
            <v>1</v>
          </cell>
          <cell r="AE146" t="str">
            <v>SCRUBBER</v>
          </cell>
        </row>
        <row r="148">
          <cell r="B148" t="str">
            <v>조선</v>
          </cell>
          <cell r="C148">
            <v>2</v>
          </cell>
          <cell r="K148" t="str">
            <v>N1</v>
          </cell>
          <cell r="L148">
            <v>186423000</v>
          </cell>
          <cell r="Q148">
            <v>2020</v>
          </cell>
          <cell r="R148">
            <v>44179</v>
          </cell>
          <cell r="T148" t="str">
            <v>LNG2</v>
          </cell>
          <cell r="AC148">
            <v>1</v>
          </cell>
          <cell r="AE148" t="str">
            <v>XDF</v>
          </cell>
        </row>
        <row r="150">
          <cell r="B150" t="str">
            <v>조선</v>
          </cell>
          <cell r="C150">
            <v>2</v>
          </cell>
          <cell r="K150" t="str">
            <v>N1</v>
          </cell>
          <cell r="L150">
            <v>186423000</v>
          </cell>
          <cell r="Q150">
            <v>2020</v>
          </cell>
          <cell r="R150">
            <v>44179</v>
          </cell>
          <cell r="T150" t="str">
            <v>LNG2</v>
          </cell>
          <cell r="AC150">
            <v>1</v>
          </cell>
          <cell r="AE150" t="str">
            <v>XDF</v>
          </cell>
        </row>
        <row r="152">
          <cell r="B152" t="str">
            <v>조선</v>
          </cell>
          <cell r="C152">
            <v>2</v>
          </cell>
          <cell r="K152" t="str">
            <v>N1</v>
          </cell>
          <cell r="L152">
            <v>186423000</v>
          </cell>
          <cell r="Q152">
            <v>2020</v>
          </cell>
          <cell r="R152">
            <v>44180</v>
          </cell>
          <cell r="T152" t="str">
            <v>LNG2</v>
          </cell>
          <cell r="AC152">
            <v>1</v>
          </cell>
          <cell r="AE152" t="str">
            <v>XDF</v>
          </cell>
        </row>
        <row r="153">
          <cell r="B153" t="str">
            <v>조선</v>
          </cell>
          <cell r="C153">
            <v>2</v>
          </cell>
          <cell r="K153" t="str">
            <v>N1</v>
          </cell>
          <cell r="L153">
            <v>186423000</v>
          </cell>
          <cell r="Q153">
            <v>2020</v>
          </cell>
          <cell r="R153">
            <v>44180</v>
          </cell>
          <cell r="T153" t="str">
            <v>LNG2</v>
          </cell>
          <cell r="AC153">
            <v>1</v>
          </cell>
          <cell r="AE153" t="str">
            <v>XDF</v>
          </cell>
        </row>
      </sheetData>
      <sheetData sheetId="5"/>
      <sheetData sheetId="6"/>
      <sheetData sheetId="7"/>
      <sheetData sheetId="8"/>
      <sheetData sheetId="9"/>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sheetName val="Steam"/>
      <sheetName val="Design Data"/>
      <sheetName val="배출계수"/>
    </sheetNames>
    <sheetDataSet>
      <sheetData sheetId="0" refreshError="1"/>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들어가기"/>
      <sheetName val="개요"/>
      <sheetName val="Simple"/>
      <sheetName val="Advanced"/>
      <sheetName val="고정배출량"/>
      <sheetName val="고정연소(S)"/>
      <sheetName val="연료 배출계수"/>
      <sheetName val="고정연소(A)"/>
      <sheetName val="이동연소(S)"/>
      <sheetName val="이동연소(A)"/>
      <sheetName val="이동연소(항공)"/>
      <sheetName val="이동연소(철도)"/>
      <sheetName val="이동연소(해운)"/>
      <sheetName val="이동배출량"/>
      <sheetName val="공정배출(제지)"/>
      <sheetName val="공정배출(발전)"/>
      <sheetName val="공정배출(석유화학)"/>
      <sheetName val="공정배출(기타)"/>
      <sheetName val="공정배출(정유)"/>
      <sheetName val="공정배출(철강)"/>
      <sheetName val="공정배출(유리)"/>
      <sheetName val="공정배출(반도체)"/>
      <sheetName val="공정배출(시멘트)"/>
      <sheetName val="간접에너지"/>
      <sheetName val="탈루배출"/>
      <sheetName val="폐기물배출"/>
      <sheetName val="공정배출계수"/>
      <sheetName val="공정배출목록"/>
      <sheetName val="지구온난화지수"/>
      <sheetName val="설비타입"/>
      <sheetName val="이동연소 연료 배출계수(항공)"/>
      <sheetName val="탈루정보"/>
      <sheetName val="이동연소 연료 배출계수"/>
      <sheetName val="전력배출계수"/>
      <sheetName val="공정배출(비철금속)"/>
      <sheetName val="SCOPE2 - 설비별 BAU 그래프"/>
    </sheetNames>
    <sheetDataSet>
      <sheetData sheetId="0" refreshError="1"/>
      <sheetData sheetId="1" refreshError="1"/>
      <sheetData sheetId="2" refreshError="1"/>
      <sheetData sheetId="3" refreshError="1"/>
      <sheetData sheetId="4" refreshError="1"/>
      <sheetData sheetId="5" refreshError="1"/>
      <sheetData sheetId="6">
        <row r="5">
          <cell r="V5" t="str">
            <v>직접입력</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N4" t="str">
            <v>MgCO3</v>
          </cell>
        </row>
        <row r="5">
          <cell r="N5" t="str">
            <v>CaMg(CO3)2</v>
          </cell>
        </row>
        <row r="6">
          <cell r="N6" t="str">
            <v>FeCO3</v>
          </cell>
        </row>
        <row r="7">
          <cell r="N7" t="str">
            <v>Ca(Fe,Mg,Mn)(CO3)2</v>
          </cell>
        </row>
        <row r="8">
          <cell r="N8" t="str">
            <v>MnCO3</v>
          </cell>
        </row>
        <row r="9">
          <cell r="N9" t="str">
            <v>Na2CO3</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
          <cell r="A1" t="str">
            <v>석유화학공정</v>
          </cell>
        </row>
        <row r="2">
          <cell r="A2" t="str">
            <v>Furnace Decoking</v>
          </cell>
          <cell r="E2" t="str">
            <v>Aromatics 공정</v>
          </cell>
          <cell r="G2" t="str">
            <v xml:space="preserve">석회소성로 </v>
          </cell>
        </row>
        <row r="3">
          <cell r="A3" t="str">
            <v>NCC_ACETYLENE CONVERTER</v>
          </cell>
          <cell r="E3" t="str">
            <v xml:space="preserve">FCC 설비 </v>
          </cell>
        </row>
        <row r="4">
          <cell r="A4" t="str">
            <v xml:space="preserve">NCC_MAPD CONVERTER </v>
          </cell>
          <cell r="E4" t="str">
            <v xml:space="preserve">수소제조공정 </v>
          </cell>
        </row>
        <row r="5">
          <cell r="A5" t="str">
            <v xml:space="preserve">수소제조공정 </v>
          </cell>
          <cell r="E5" t="str">
            <v>BTX _Catalyst Decoking</v>
          </cell>
        </row>
        <row r="6">
          <cell r="A6" t="str">
            <v>BTX _Catalyst Decoking</v>
          </cell>
          <cell r="E6" t="str">
            <v>SRU, TGTU &amp; Incinerator</v>
          </cell>
        </row>
        <row r="7">
          <cell r="A7" t="str">
            <v>SM_Catalyst Decoking</v>
          </cell>
          <cell r="E7" t="str">
            <v>Flaring</v>
          </cell>
        </row>
        <row r="8">
          <cell r="A8" t="str">
            <v>SRU, TGTU &amp; Incinerator</v>
          </cell>
          <cell r="E8" t="str">
            <v>Amine Unit &amp; Incinerator</v>
          </cell>
        </row>
        <row r="9">
          <cell r="A9" t="str">
            <v>Flaring</v>
          </cell>
          <cell r="E9" t="str">
            <v xml:space="preserve">Gas Treatment Unit </v>
          </cell>
        </row>
        <row r="10">
          <cell r="A10" t="str">
            <v>Amine Unit &amp; Incinerator</v>
          </cell>
          <cell r="E10" t="str">
            <v xml:space="preserve">VOC 처리 설비 </v>
          </cell>
        </row>
        <row r="11">
          <cell r="A11" t="str">
            <v>Ethlyen Glycol(EO/EG)</v>
          </cell>
          <cell r="E11" t="str">
            <v xml:space="preserve">RCO, RTO 설비 </v>
          </cell>
        </row>
        <row r="12">
          <cell r="A12" t="str">
            <v>MMA Production</v>
          </cell>
        </row>
        <row r="13">
          <cell r="A13" t="str">
            <v xml:space="preserve">Carbon Black Prodcution </v>
          </cell>
        </row>
        <row r="14">
          <cell r="A14" t="str">
            <v xml:space="preserve">무수프탈산 공정 </v>
          </cell>
        </row>
        <row r="15">
          <cell r="A15" t="str">
            <v xml:space="preserve">Gas Treatment Unit </v>
          </cell>
        </row>
        <row r="16">
          <cell r="A16" t="str">
            <v xml:space="preserve">VOC 처리 설비 </v>
          </cell>
        </row>
        <row r="17">
          <cell r="A17" t="str">
            <v xml:space="preserve">RCO, RTO 설비 </v>
          </cell>
        </row>
        <row r="25">
          <cell r="B25" t="str">
            <v>공정배출(석유화학)</v>
          </cell>
        </row>
        <row r="26">
          <cell r="B26" t="str">
            <v>공정배출(발전)</v>
          </cell>
        </row>
        <row r="27">
          <cell r="B27" t="str">
            <v>공정배출(반도체)</v>
          </cell>
        </row>
        <row r="28">
          <cell r="B28" t="str">
            <v>공정배출(정유)</v>
          </cell>
        </row>
        <row r="29">
          <cell r="B29" t="str">
            <v>공정배출(항공)</v>
          </cell>
        </row>
        <row r="30">
          <cell r="B30" t="str">
            <v>공정배출(철강)</v>
          </cell>
        </row>
        <row r="31">
          <cell r="B31" t="str">
            <v>공정배출(제지)</v>
          </cell>
        </row>
        <row r="32">
          <cell r="A32" t="str">
            <v>Simple</v>
          </cell>
          <cell r="B32" t="str">
            <v>공정배출(도로)</v>
          </cell>
        </row>
        <row r="33">
          <cell r="A33" t="str">
            <v>Advanced</v>
          </cell>
          <cell r="B33" t="str">
            <v>공정배출(비철금속,유리)</v>
          </cell>
        </row>
        <row r="34">
          <cell r="B34" t="str">
            <v>공정배출(철도)</v>
          </cell>
        </row>
        <row r="35">
          <cell r="B35" t="str">
            <v>공정배출(시멘트)</v>
          </cell>
        </row>
      </sheetData>
      <sheetData sheetId="28"/>
      <sheetData sheetId="29" refreshError="1">
        <row r="3">
          <cell r="K3" t="str">
            <v>액체 연료</v>
          </cell>
        </row>
        <row r="4">
          <cell r="K4" t="str">
            <v>고체 연료</v>
          </cell>
        </row>
        <row r="5">
          <cell r="K5" t="str">
            <v>기체 연료</v>
          </cell>
        </row>
      </sheetData>
      <sheetData sheetId="30">
        <row r="2">
          <cell r="C2" t="str">
            <v>LTO(kg/LTO)-보통형(B737-400)</v>
          </cell>
        </row>
        <row r="3">
          <cell r="C3" t="str">
            <v>LTO(kg/LTO)-구형(B737-100)</v>
          </cell>
        </row>
        <row r="4">
          <cell r="C4" t="str">
            <v>Cruise(kg/tonne)-보통형(B737-400)</v>
          </cell>
        </row>
        <row r="5">
          <cell r="C5" t="str">
            <v>Cruise(kg/tonne)-구형(B737-100)</v>
          </cell>
        </row>
        <row r="6">
          <cell r="C6" t="str">
            <v>LTO(kg/LTO)-보통형(B767)</v>
          </cell>
        </row>
        <row r="7">
          <cell r="C7" t="str">
            <v>LTO(kg/LTO)-보통형 단거리(B737-400)</v>
          </cell>
        </row>
        <row r="8">
          <cell r="C8" t="str">
            <v>LTO(kg/LTO)-보통형 장거리(B747-400)</v>
          </cell>
        </row>
        <row r="9">
          <cell r="C9" t="str">
            <v>LTO(kg/LTO)-구형(DC10)</v>
          </cell>
        </row>
        <row r="10">
          <cell r="C10" t="str">
            <v>LTO(kg/LTO)-구형 단거리(B737-100)</v>
          </cell>
        </row>
        <row r="11">
          <cell r="C11" t="str">
            <v>LTO(kg/LTO)-구형 장거리(B747-100)</v>
          </cell>
        </row>
        <row r="12">
          <cell r="C12" t="str">
            <v>Cruise(kg/tonne)-보통형(B767)</v>
          </cell>
        </row>
        <row r="13">
          <cell r="C13" t="str">
            <v>Cruise(kg/tonne)-보통형(DC10)</v>
          </cell>
        </row>
        <row r="15">
          <cell r="C15" t="str">
            <v>A300</v>
          </cell>
        </row>
        <row r="16">
          <cell r="C16" t="str">
            <v>A310</v>
          </cell>
        </row>
        <row r="17">
          <cell r="C17" t="str">
            <v>A319</v>
          </cell>
        </row>
        <row r="18">
          <cell r="C18" t="str">
            <v>A320</v>
          </cell>
        </row>
        <row r="19">
          <cell r="C19" t="str">
            <v>A321</v>
          </cell>
        </row>
        <row r="20">
          <cell r="C20" t="str">
            <v>A330-200/300</v>
          </cell>
        </row>
        <row r="21">
          <cell r="C21" t="str">
            <v>A340-200</v>
          </cell>
        </row>
        <row r="22">
          <cell r="C22" t="str">
            <v>A340-300</v>
          </cell>
        </row>
        <row r="23">
          <cell r="C23" t="str">
            <v>A340-500/600</v>
          </cell>
        </row>
        <row r="24">
          <cell r="C24" t="str">
            <v>B707</v>
          </cell>
        </row>
        <row r="25">
          <cell r="C25" t="str">
            <v>B717</v>
          </cell>
        </row>
        <row r="26">
          <cell r="C26" t="str">
            <v>B727-100</v>
          </cell>
        </row>
        <row r="27">
          <cell r="C27" t="str">
            <v>B727-200</v>
          </cell>
        </row>
        <row r="28">
          <cell r="C28" t="str">
            <v>B737-100/200</v>
          </cell>
        </row>
        <row r="29">
          <cell r="C29" t="str">
            <v>B737-300/400/500</v>
          </cell>
        </row>
        <row r="30">
          <cell r="C30" t="str">
            <v>B737-600</v>
          </cell>
        </row>
        <row r="31">
          <cell r="C31" t="str">
            <v>B737-700</v>
          </cell>
        </row>
        <row r="32">
          <cell r="C32" t="str">
            <v>B737-800/900</v>
          </cell>
        </row>
        <row r="33">
          <cell r="C33" t="str">
            <v>B747-100</v>
          </cell>
        </row>
        <row r="34">
          <cell r="C34" t="str">
            <v>B747-200</v>
          </cell>
        </row>
        <row r="35">
          <cell r="C35" t="str">
            <v>B747-300</v>
          </cell>
        </row>
        <row r="36">
          <cell r="C36" t="str">
            <v>B747-400</v>
          </cell>
        </row>
        <row r="37">
          <cell r="C37" t="str">
            <v>B757-200</v>
          </cell>
        </row>
        <row r="38">
          <cell r="C38" t="str">
            <v>B757-300</v>
          </cell>
        </row>
        <row r="39">
          <cell r="C39" t="str">
            <v>B767-200</v>
          </cell>
        </row>
        <row r="40">
          <cell r="C40" t="str">
            <v>B767-300</v>
          </cell>
        </row>
        <row r="41">
          <cell r="C41" t="str">
            <v>B767-400</v>
          </cell>
        </row>
        <row r="42">
          <cell r="C42" t="str">
            <v>B777-200/300</v>
          </cell>
        </row>
        <row r="43">
          <cell r="C43" t="str">
            <v>DC10</v>
          </cell>
        </row>
        <row r="44">
          <cell r="C44" t="str">
            <v>DC8-50/60/70</v>
          </cell>
        </row>
        <row r="45">
          <cell r="C45" t="str">
            <v>DC9</v>
          </cell>
        </row>
        <row r="46">
          <cell r="C46" t="str">
            <v>L-1011</v>
          </cell>
        </row>
        <row r="47">
          <cell r="C47" t="str">
            <v>MD-11</v>
          </cell>
        </row>
        <row r="48">
          <cell r="C48" t="str">
            <v>MD-80</v>
          </cell>
        </row>
        <row r="49">
          <cell r="C49" t="str">
            <v>MD-90</v>
          </cell>
        </row>
        <row r="50">
          <cell r="C50" t="str">
            <v>TU-134</v>
          </cell>
        </row>
        <row r="51">
          <cell r="C51" t="str">
            <v>TU-154-M</v>
          </cell>
        </row>
        <row r="52">
          <cell r="C52" t="str">
            <v>TU-154-B</v>
          </cell>
        </row>
        <row r="53">
          <cell r="C53" t="str">
            <v>RJ-RJ85</v>
          </cell>
        </row>
        <row r="54">
          <cell r="C54" t="str">
            <v>BAE 146</v>
          </cell>
        </row>
        <row r="55">
          <cell r="C55" t="str">
            <v>CRJ-100ER</v>
          </cell>
        </row>
        <row r="56">
          <cell r="C56" t="str">
            <v>ERJ-145</v>
          </cell>
        </row>
        <row r="57">
          <cell r="C57" t="str">
            <v>Fokker 100/70/28</v>
          </cell>
        </row>
        <row r="58">
          <cell r="C58" t="str">
            <v>BAC111</v>
          </cell>
        </row>
        <row r="59">
          <cell r="C59" t="str">
            <v>Dornier 328 Jet</v>
          </cell>
        </row>
        <row r="60">
          <cell r="C60" t="str">
            <v>Gulfstream IV</v>
          </cell>
        </row>
        <row r="61">
          <cell r="C61" t="str">
            <v>Gufstream V</v>
          </cell>
        </row>
        <row r="62">
          <cell r="C62" t="str">
            <v>Yak-42M</v>
          </cell>
        </row>
        <row r="63">
          <cell r="C63" t="str">
            <v>Cessna 525/560</v>
          </cell>
        </row>
        <row r="64">
          <cell r="C64" t="str">
            <v>Beech King Air</v>
          </cell>
        </row>
        <row r="65">
          <cell r="C65" t="str">
            <v>DHC8-100</v>
          </cell>
        </row>
        <row r="66">
          <cell r="C66" t="str">
            <v>ATR72-500</v>
          </cell>
        </row>
      </sheetData>
      <sheetData sheetId="31">
        <row r="2">
          <cell r="A2" t="str">
            <v>가정용 냉장고</v>
          </cell>
        </row>
        <row r="3">
          <cell r="A3" t="str">
            <v>상업용 냉장고</v>
          </cell>
        </row>
        <row r="4">
          <cell r="A4" t="str">
            <v>중대형 상업용 냉장고</v>
          </cell>
        </row>
        <row r="5">
          <cell r="A5" t="str">
            <v>차량용 냉장고</v>
          </cell>
        </row>
        <row r="6">
          <cell r="A6" t="str">
            <v>산업용 냉동고</v>
          </cell>
        </row>
        <row r="7">
          <cell r="A7" t="str">
            <v>냉각장치</v>
          </cell>
        </row>
        <row r="8">
          <cell r="A8" t="str">
            <v>가정용/산업용 에어컨</v>
          </cell>
        </row>
        <row r="9">
          <cell r="A9" t="str">
            <v>차량용 에어컨</v>
          </cell>
        </row>
        <row r="10">
          <cell r="A10" t="str">
            <v>고정 소화 장비</v>
          </cell>
        </row>
        <row r="11">
          <cell r="A11" t="str">
            <v>소화기</v>
          </cell>
        </row>
        <row r="12">
          <cell r="A12" t="str">
            <v>가스절연개폐기</v>
          </cell>
        </row>
        <row r="13">
          <cell r="A13" t="str">
            <v>기타</v>
          </cell>
        </row>
      </sheetData>
      <sheetData sheetId="32">
        <row r="9">
          <cell r="A9" t="str">
            <v>차량용 에어컨</v>
          </cell>
        </row>
        <row r="10">
          <cell r="A10" t="str">
            <v>고정 소화 장비</v>
          </cell>
        </row>
        <row r="11">
          <cell r="A11" t="str">
            <v>소화기</v>
          </cell>
        </row>
        <row r="12">
          <cell r="A12" t="str">
            <v>가스절연개폐기</v>
          </cell>
        </row>
        <row r="13">
          <cell r="A13" t="str">
            <v>기타</v>
          </cell>
        </row>
        <row r="14">
          <cell r="A14" t="str">
            <v>선박_B-B/B-C유</v>
          </cell>
        </row>
        <row r="15">
          <cell r="A15" t="str">
            <v>선박_용제</v>
          </cell>
        </row>
      </sheetData>
      <sheetData sheetId="33"/>
      <sheetData sheetId="34" refreshError="1"/>
      <sheetData sheetId="3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피벗"/>
      <sheetName val="배출량 Data"/>
      <sheetName val="국내raw"/>
      <sheetName val="Sheet1"/>
      <sheetName val="구간List"/>
      <sheetName val="구간수단별 거리-"/>
      <sheetName val="도로이동(RPA)"/>
      <sheetName val="기준주소지"/>
      <sheetName val="항공거리"/>
      <sheetName val="철도거리"/>
      <sheetName val="index"/>
      <sheetName val="버스거리"/>
      <sheetName val="자가용거리"/>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코드01_온실가스(지구온난화지수)"/>
      <sheetName val="명세서코드02_방지시설코드"/>
      <sheetName val="명세서코드03_연료코드"/>
      <sheetName val="명세서코드04_배출시설"/>
      <sheetName val="명세서코드05_소각물질코드"/>
      <sheetName val="명세서코드06_연료단위코드"/>
      <sheetName val="명세서코드07_원료,제품,소각물질단위코드"/>
      <sheetName val="명세서코드08_배출활동코드"/>
      <sheetName val="명세서코드09_바이오매스취급물질"/>
      <sheetName val="배출량산정계수_지구온난화지수(GWP)"/>
      <sheetName val="배출량산정계수_연료원별발열량"/>
      <sheetName val="배출량산정계수_연료원별온실가스배출계수"/>
      <sheetName val="배출량산정계수_이동연소(도로)배출계수"/>
      <sheetName val="배출량산정계수_전력배출계수"/>
      <sheetName val="배출량산정계수_탈루배출원누출율"/>
      <sheetName val="배출량산정계수_폐기물소각부문배출계수"/>
      <sheetName val="배출량규모에 따른 산정등급 분류기준"/>
      <sheetName val="인벤토리_총괄"/>
      <sheetName val="인벤토리_직접_고정"/>
      <sheetName val="인벤토리_직접_이동"/>
      <sheetName val="인벤토리_폐기물_매립"/>
      <sheetName val="인벤토리_폐기물_소각"/>
      <sheetName val="인벤토리_간접배출"/>
      <sheetName val="배출량 산정계수_매립부분DOC"/>
      <sheetName val="매립활동데이터"/>
      <sheetName val="Sheet5"/>
      <sheetName val="Food"/>
      <sheetName val="SCOPE1 (비에너지) - 설비별 BAU 그래프"/>
    </sheetNames>
    <sheetDataSet>
      <sheetData sheetId="0"/>
      <sheetData sheetId="1"/>
      <sheetData sheetId="2">
        <row r="3">
          <cell r="B3" t="str">
            <v>원유</v>
          </cell>
        </row>
      </sheetData>
      <sheetData sheetId="3">
        <row r="3">
          <cell r="B3" t="str">
            <v>가열로</v>
          </cell>
        </row>
        <row r="4">
          <cell r="B4" t="str">
            <v>가열시설</v>
          </cell>
        </row>
        <row r="5">
          <cell r="B5" t="str">
            <v>가황시설</v>
          </cell>
        </row>
        <row r="6">
          <cell r="B6" t="str">
            <v>개질시설</v>
          </cell>
        </row>
        <row r="7">
          <cell r="B7" t="str">
            <v>건류시설</v>
          </cell>
        </row>
        <row r="8">
          <cell r="B8" t="str">
            <v>건조시설</v>
          </cell>
        </row>
        <row r="9">
          <cell r="B9" t="str">
            <v>경화,압착시설</v>
          </cell>
        </row>
        <row r="10">
          <cell r="B10" t="str">
            <v>계량시설</v>
          </cell>
        </row>
        <row r="11">
          <cell r="B11" t="str">
            <v>고체입상물질저장시설</v>
          </cell>
        </row>
        <row r="12">
          <cell r="B12" t="str">
            <v>권련시설</v>
          </cell>
        </row>
        <row r="13">
          <cell r="B13" t="str">
            <v>권축시설</v>
          </cell>
        </row>
        <row r="14">
          <cell r="B14" t="str">
            <v>권취,포장시설</v>
          </cell>
        </row>
        <row r="15">
          <cell r="B15" t="str">
            <v>권취시설</v>
          </cell>
        </row>
        <row r="16">
          <cell r="B16" t="str">
            <v>균질로</v>
          </cell>
        </row>
        <row r="17">
          <cell r="B17" t="str">
            <v>기모(식모)시설</v>
          </cell>
        </row>
        <row r="18">
          <cell r="B18" t="str">
            <v>기타</v>
          </cell>
        </row>
        <row r="19">
          <cell r="B19" t="str">
            <v>기타로</v>
          </cell>
        </row>
        <row r="20">
          <cell r="B20" t="str">
            <v>납땜시설</v>
          </cell>
        </row>
        <row r="21">
          <cell r="B21" t="str">
            <v>냉각시설</v>
          </cell>
        </row>
        <row r="22">
          <cell r="B22" t="str">
            <v>농축시설</v>
          </cell>
        </row>
        <row r="23">
          <cell r="B23" t="str">
            <v>다림질 및 코팅시설</v>
          </cell>
        </row>
        <row r="24">
          <cell r="B24" t="str">
            <v>담금질시설</v>
          </cell>
        </row>
        <row r="25">
          <cell r="B25" t="str">
            <v>도가니로</v>
          </cell>
        </row>
        <row r="26">
          <cell r="B26" t="str">
            <v>도금시설</v>
          </cell>
        </row>
        <row r="27">
          <cell r="B27" t="str">
            <v>도장시설</v>
          </cell>
        </row>
        <row r="28">
          <cell r="B28" t="str">
            <v>도정시설</v>
          </cell>
        </row>
        <row r="29">
          <cell r="B29" t="str">
            <v>도포시설</v>
          </cell>
        </row>
        <row r="30">
          <cell r="B30" t="str">
            <v>모소시설</v>
          </cell>
        </row>
        <row r="31">
          <cell r="B31" t="str">
            <v>목재가공연마시설</v>
          </cell>
        </row>
        <row r="32">
          <cell r="B32" t="str">
            <v>반사로</v>
          </cell>
        </row>
        <row r="33">
          <cell r="B33" t="str">
            <v>반응시설</v>
          </cell>
        </row>
        <row r="34">
          <cell r="B34" t="str">
            <v>발전용내연기관</v>
          </cell>
        </row>
        <row r="35">
          <cell r="B35" t="str">
            <v>발효시설</v>
          </cell>
        </row>
        <row r="36">
          <cell r="B36" t="str">
            <v>방사,집면시설</v>
          </cell>
        </row>
        <row r="37">
          <cell r="B37" t="str">
            <v>방사시설</v>
          </cell>
        </row>
        <row r="38">
          <cell r="B38" t="str">
            <v>배소로</v>
          </cell>
        </row>
        <row r="39">
          <cell r="B39" t="str">
            <v>분리시설</v>
          </cell>
        </row>
        <row r="40">
          <cell r="B40" t="str">
            <v>분쇄시설</v>
          </cell>
        </row>
        <row r="41">
          <cell r="B41" t="str">
            <v>산,알카리처리시설</v>
          </cell>
        </row>
        <row r="42">
          <cell r="B42" t="str">
            <v>산처리시설</v>
          </cell>
        </row>
        <row r="43">
          <cell r="B43" t="str">
            <v>산화,환원시설</v>
          </cell>
        </row>
        <row r="44">
          <cell r="B44" t="str">
            <v>석회로시설</v>
          </cell>
        </row>
        <row r="45">
          <cell r="B45" t="str">
            <v>석회석시설</v>
          </cell>
        </row>
        <row r="46">
          <cell r="B46" t="str">
            <v>선별(혼타)시설</v>
          </cell>
        </row>
        <row r="47">
          <cell r="B47" t="str">
            <v>선별시설</v>
          </cell>
        </row>
        <row r="48">
          <cell r="B48" t="str">
            <v>성형시설</v>
          </cell>
        </row>
        <row r="49">
          <cell r="B49" t="str">
            <v>소각보일러</v>
          </cell>
        </row>
        <row r="50">
          <cell r="B50" t="str">
            <v>소결로</v>
          </cell>
        </row>
        <row r="51">
          <cell r="B51" t="str">
            <v>소둔로</v>
          </cell>
        </row>
        <row r="52">
          <cell r="B52" t="str">
            <v>소려로</v>
          </cell>
        </row>
        <row r="53">
          <cell r="B53" t="str">
            <v>소성시설</v>
          </cell>
        </row>
        <row r="54">
          <cell r="B54" t="str">
            <v>숙성시설</v>
          </cell>
        </row>
        <row r="55">
          <cell r="B55" t="str">
            <v>순환식조화시설</v>
          </cell>
        </row>
        <row r="56">
          <cell r="B56" t="str">
            <v>습점시설</v>
          </cell>
        </row>
        <row r="57">
          <cell r="B57" t="str">
            <v>압착시설</v>
          </cell>
        </row>
        <row r="58">
          <cell r="B58" t="str">
            <v>연마시설</v>
          </cell>
        </row>
        <row r="59">
          <cell r="B59" t="str">
            <v>연소시설</v>
          </cell>
        </row>
        <row r="60">
          <cell r="B60" t="str">
            <v>열병합발전시설</v>
          </cell>
        </row>
        <row r="61">
          <cell r="B61" t="str">
            <v>열풍로</v>
          </cell>
        </row>
        <row r="62">
          <cell r="B62" t="str">
            <v>용광로</v>
          </cell>
        </row>
        <row r="63">
          <cell r="B63" t="str">
            <v>용선로</v>
          </cell>
        </row>
        <row r="64">
          <cell r="B64" t="str">
            <v>용융,용해시설</v>
          </cell>
        </row>
        <row r="65">
          <cell r="B65" t="str">
            <v>용융/용해로</v>
          </cell>
        </row>
        <row r="66">
          <cell r="B66" t="str">
            <v>원피저장시설</v>
          </cell>
        </row>
        <row r="67">
          <cell r="B67" t="str">
            <v>유,무기산저장시설</v>
          </cell>
        </row>
        <row r="68">
          <cell r="B68" t="str">
            <v>유기화합물저장시설</v>
          </cell>
        </row>
        <row r="69">
          <cell r="B69" t="str">
            <v>윤전시설</v>
          </cell>
        </row>
        <row r="70">
          <cell r="B70" t="str">
            <v>응축시설</v>
          </cell>
        </row>
        <row r="71">
          <cell r="B71" t="str">
            <v>일반보일러</v>
          </cell>
        </row>
        <row r="72">
          <cell r="B72" t="str">
            <v>일반폐기물소각시설</v>
          </cell>
        </row>
        <row r="73">
          <cell r="B73" t="str">
            <v>자숙시설</v>
          </cell>
        </row>
        <row r="74">
          <cell r="B74" t="str">
            <v>저장시설</v>
          </cell>
        </row>
        <row r="75">
          <cell r="B75" t="str">
            <v>적출물소각시설</v>
          </cell>
        </row>
        <row r="76">
          <cell r="B76" t="str">
            <v>전기아크로(유도로포함)</v>
          </cell>
        </row>
        <row r="77">
          <cell r="B77" t="str">
            <v>전로(상취전로 포함)</v>
          </cell>
        </row>
        <row r="78">
          <cell r="B78" t="str">
            <v>전해,전리시설</v>
          </cell>
        </row>
        <row r="79">
          <cell r="B79" t="str">
            <v>전해로</v>
          </cell>
        </row>
        <row r="80">
          <cell r="B80" t="str">
            <v>절단시설</v>
          </cell>
        </row>
        <row r="81">
          <cell r="B81" t="str">
            <v>접착시설</v>
          </cell>
        </row>
        <row r="82">
          <cell r="B82" t="str">
            <v>접착제혼합시설</v>
          </cell>
        </row>
        <row r="83">
          <cell r="B83" t="str">
            <v>정련시설</v>
          </cell>
        </row>
        <row r="84">
          <cell r="B84" t="str">
            <v>정제,충전,충진시설</v>
          </cell>
        </row>
        <row r="85">
          <cell r="B85" t="str">
            <v>정제시설</v>
          </cell>
        </row>
        <row r="86">
          <cell r="B86" t="str">
            <v>제분시설</v>
          </cell>
        </row>
        <row r="87">
          <cell r="B87" t="str">
            <v>제선로</v>
          </cell>
        </row>
        <row r="88">
          <cell r="B88" t="str">
            <v>제재시설</v>
          </cell>
        </row>
        <row r="89">
          <cell r="B89" t="str">
            <v>주형/주물사 처리시설</v>
          </cell>
        </row>
        <row r="90">
          <cell r="B90" t="str">
            <v>증류시설</v>
          </cell>
        </row>
        <row r="91">
          <cell r="B91" t="str">
            <v>증자시설</v>
          </cell>
        </row>
        <row r="92">
          <cell r="B92" t="str">
            <v>증해시설</v>
          </cell>
        </row>
        <row r="93">
          <cell r="B93" t="str">
            <v>촉매재생시설</v>
          </cell>
        </row>
        <row r="94">
          <cell r="B94" t="str">
            <v>추출시설</v>
          </cell>
        </row>
        <row r="95">
          <cell r="B95" t="str">
            <v>침향시설</v>
          </cell>
        </row>
        <row r="96">
          <cell r="B96" t="str">
            <v>탄화시설</v>
          </cell>
        </row>
        <row r="97">
          <cell r="B97" t="str">
            <v>탈사시설</v>
          </cell>
        </row>
        <row r="98">
          <cell r="B98" t="str">
            <v>탈지시설</v>
          </cell>
        </row>
        <row r="99">
          <cell r="B99" t="str">
            <v>탈판시설</v>
          </cell>
        </row>
        <row r="100">
          <cell r="B100" t="str">
            <v>탈황시설</v>
          </cell>
        </row>
        <row r="101">
          <cell r="B101" t="str">
            <v>특정폐기물소각시설</v>
          </cell>
        </row>
        <row r="102">
          <cell r="B102" t="str">
            <v>폐가스소각시설</v>
          </cell>
        </row>
        <row r="103">
          <cell r="B103" t="str">
            <v>폐기물소각시설</v>
          </cell>
        </row>
        <row r="104">
          <cell r="B104" t="str">
            <v>폐수소각시설</v>
          </cell>
        </row>
        <row r="105">
          <cell r="B105" t="str">
            <v>포장시설</v>
          </cell>
        </row>
        <row r="106">
          <cell r="B106" t="str">
            <v>표면경화시설</v>
          </cell>
        </row>
        <row r="107">
          <cell r="B107" t="str">
            <v>표백시설</v>
          </cell>
        </row>
        <row r="108">
          <cell r="B108" t="str">
            <v>혼합시설</v>
          </cell>
        </row>
        <row r="109">
          <cell r="B109" t="str">
            <v>화력발전시설</v>
          </cell>
        </row>
        <row r="110">
          <cell r="B110" t="str">
            <v>화성처리시설</v>
          </cell>
        </row>
        <row r="111">
          <cell r="B111" t="str">
            <v>회수시설</v>
          </cell>
        </row>
        <row r="112">
          <cell r="B112" t="str">
            <v>흡수시설</v>
          </cell>
        </row>
      </sheetData>
      <sheetData sheetId="4"/>
      <sheetData sheetId="5"/>
      <sheetData sheetId="6"/>
      <sheetData sheetId="7">
        <row r="3">
          <cell r="C3" t="str">
            <v>고체연료연소</v>
          </cell>
        </row>
        <row r="4">
          <cell r="C4" t="str">
            <v>기체연료연소</v>
          </cell>
        </row>
        <row r="5">
          <cell r="C5" t="str">
            <v>액체연료연소</v>
          </cell>
        </row>
        <row r="6">
          <cell r="C6" t="str">
            <v>석유정제활동</v>
          </cell>
        </row>
        <row r="7">
          <cell r="C7" t="str">
            <v>수소제조공정</v>
          </cell>
        </row>
        <row r="8">
          <cell r="C8" t="str">
            <v>촉매재생공정</v>
          </cell>
        </row>
        <row r="9">
          <cell r="C9" t="str">
            <v>코크스 제조공정</v>
          </cell>
        </row>
        <row r="10">
          <cell r="C10" t="str">
            <v>이동연소(항공)</v>
          </cell>
        </row>
        <row r="11">
          <cell r="C11" t="str">
            <v>이동연소(도로)</v>
          </cell>
        </row>
        <row r="12">
          <cell r="C12" t="str">
            <v>이동연소(철도)</v>
          </cell>
        </row>
        <row r="13">
          <cell r="C13" t="str">
            <v>이동연소(선박)</v>
          </cell>
        </row>
        <row r="14">
          <cell r="C14" t="str">
            <v>석탄의 채굴 및 처리</v>
          </cell>
        </row>
        <row r="15">
          <cell r="C15" t="str">
            <v>시멘트 생산</v>
          </cell>
        </row>
        <row r="16">
          <cell r="C16" t="str">
            <v>원유 및 천연가스 시스템</v>
          </cell>
        </row>
        <row r="17">
          <cell r="C17" t="str">
            <v>석회 생산</v>
          </cell>
        </row>
        <row r="18">
          <cell r="C18" t="str">
            <v>탄산염의 기타 공정사용</v>
          </cell>
        </row>
        <row r="19">
          <cell r="C19" t="str">
            <v>암모니아 생산</v>
          </cell>
        </row>
        <row r="20">
          <cell r="C20" t="str">
            <v>질산 생산</v>
          </cell>
        </row>
        <row r="21">
          <cell r="C21" t="str">
            <v>아디프산 생산</v>
          </cell>
        </row>
        <row r="22">
          <cell r="C22" t="str">
            <v>카바이드 생산</v>
          </cell>
        </row>
        <row r="23">
          <cell r="C23" t="str">
            <v>이산화티탄 생산</v>
          </cell>
        </row>
        <row r="24">
          <cell r="C24" t="str">
            <v>소다회 생산</v>
          </cell>
        </row>
        <row r="25">
          <cell r="C25" t="str">
            <v>석유화학제품생산(메탄올)</v>
          </cell>
        </row>
        <row r="26">
          <cell r="C26" t="str">
            <v>석유화학제품생산(에틸렌)</v>
          </cell>
        </row>
        <row r="27">
          <cell r="C27" t="str">
            <v>석유화학제품생산(EDC)</v>
          </cell>
        </row>
        <row r="28">
          <cell r="C28" t="str">
            <v>석유화학제품생산(VCM)</v>
          </cell>
        </row>
        <row r="29">
          <cell r="C29" t="str">
            <v>석유화학제품생산(EO)</v>
          </cell>
        </row>
        <row r="30">
          <cell r="C30" t="str">
            <v>석유화학제품생산(AN)</v>
          </cell>
        </row>
        <row r="31">
          <cell r="C31" t="str">
            <v>석유화학제품생산(카본블랙)</v>
          </cell>
        </row>
        <row r="32">
          <cell r="C32" t="str">
            <v>불소화합물생산(HCFC-22 생산)</v>
          </cell>
        </row>
        <row r="33">
          <cell r="C33" t="str">
            <v>철강생산</v>
          </cell>
        </row>
        <row r="34">
          <cell r="C34" t="str">
            <v>합금철 생산</v>
          </cell>
        </row>
        <row r="35">
          <cell r="C35" t="str">
            <v>아연생산</v>
          </cell>
        </row>
        <row r="36">
          <cell r="C36" t="str">
            <v>전자산업(반도체)</v>
          </cell>
        </row>
        <row r="37">
          <cell r="C37" t="str">
            <v>전자산업(디스플레이)</v>
          </cell>
        </row>
        <row r="38">
          <cell r="C38" t="str">
            <v>전자산업(광전지)</v>
          </cell>
        </row>
        <row r="39">
          <cell r="C39" t="str">
            <v>오존층파괴물질의 대체물질 사용</v>
          </cell>
        </row>
        <row r="40">
          <cell r="C40" t="str">
            <v>비에어로졸용매</v>
          </cell>
        </row>
        <row r="41">
          <cell r="C41" t="str">
            <v>에어로졸</v>
          </cell>
        </row>
        <row r="42">
          <cell r="C42" t="str">
            <v>발포제</v>
          </cell>
        </row>
        <row r="43">
          <cell r="C43" t="str">
            <v>냉동 및 냉방</v>
          </cell>
        </row>
        <row r="44">
          <cell r="C44" t="str">
            <v>소방</v>
          </cell>
        </row>
        <row r="45">
          <cell r="C45" t="str">
            <v>전기설비</v>
          </cell>
        </row>
        <row r="46">
          <cell r="C46" t="str">
            <v>기타 사용</v>
          </cell>
        </row>
        <row r="47">
          <cell r="C47" t="str">
            <v>고형폐기물의 매립</v>
          </cell>
        </row>
        <row r="48">
          <cell r="C48" t="str">
            <v>고형폐기물의 생물학적처리</v>
          </cell>
        </row>
        <row r="49">
          <cell r="C49" t="str">
            <v>하·폐수 처리 및 배출</v>
          </cell>
        </row>
        <row r="50">
          <cell r="C50" t="str">
            <v>폐기물의 소각</v>
          </cell>
        </row>
        <row r="51">
          <cell r="C51" t="str">
            <v>간접배출(외부전기사용)</v>
          </cell>
        </row>
        <row r="52">
          <cell r="C52" t="str">
            <v>간접배출(외부 열사용)</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D4BC-D21B-4926-AAC9-D6ECD6129ED6}">
  <dimension ref="B1:AW104"/>
  <sheetViews>
    <sheetView showGridLines="0" tabSelected="1" zoomScale="70" zoomScaleNormal="70" workbookViewId="0">
      <pane xSplit="1" ySplit="6" topLeftCell="B7" activePane="bottomRight" state="frozen"/>
      <selection pane="topRight" activeCell="B1" sqref="B1"/>
      <selection pane="bottomLeft" activeCell="A7" sqref="A7"/>
      <selection pane="bottomRight" activeCell="D41" sqref="D41"/>
    </sheetView>
  </sheetViews>
  <sheetFormatPr defaultColWidth="8.625" defaultRowHeight="16.5" outlineLevelCol="1"/>
  <cols>
    <col min="1" max="1" width="1.875" customWidth="1"/>
    <col min="2" max="2" width="10.375" style="1" customWidth="1"/>
    <col min="3" max="3" width="39.25" style="1" customWidth="1"/>
    <col min="4" max="4" width="43.375" style="1" bestFit="1" customWidth="1"/>
    <col min="5" max="5" width="33.625" customWidth="1"/>
    <col min="6" max="6" width="16.5" customWidth="1"/>
    <col min="7" max="7" width="59.625" bestFit="1" customWidth="1"/>
    <col min="8" max="8" width="27.125" bestFit="1" customWidth="1"/>
    <col min="9" max="9" width="33.75" customWidth="1"/>
    <col min="10" max="10" width="19.875" customWidth="1"/>
    <col min="11" max="11" width="17.125" style="2" bestFit="1" customWidth="1"/>
    <col min="12" max="23" width="15.125" style="2" customWidth="1" outlineLevel="1"/>
    <col min="24" max="24" width="10" style="1" bestFit="1" customWidth="1"/>
    <col min="25" max="25" width="30.375" customWidth="1"/>
    <col min="26" max="26" width="29.875" bestFit="1" customWidth="1"/>
    <col min="27" max="27" width="26" bestFit="1" customWidth="1"/>
    <col min="28" max="28" width="30.375" bestFit="1" customWidth="1"/>
    <col min="29" max="41" width="13.375" customWidth="1" outlineLevel="1"/>
    <col min="42" max="42" width="13.25" customWidth="1"/>
    <col min="43" max="43" width="12.875" bestFit="1" customWidth="1"/>
    <col min="44" max="44" width="31.625" style="3" bestFit="1" customWidth="1"/>
    <col min="45" max="45" width="34.875" style="1" bestFit="1" customWidth="1"/>
    <col min="46" max="46" width="31.5" style="41" bestFit="1" customWidth="1"/>
    <col min="47" max="47" width="15.125" style="3" customWidth="1"/>
    <col min="48" max="48" width="14.75" style="3" customWidth="1"/>
    <col min="49" max="49" width="13.125" style="3" customWidth="1"/>
  </cols>
  <sheetData>
    <row r="1" spans="2:49" ht="17.25" thickBot="1">
      <c r="AT1" s="1"/>
      <c r="AU1" s="4">
        <v>2022</v>
      </c>
      <c r="AV1" s="4">
        <v>2023</v>
      </c>
      <c r="AW1" s="4">
        <v>2024</v>
      </c>
    </row>
    <row r="2" spans="2:49" ht="41.25" thickBot="1">
      <c r="B2" s="5" t="s">
        <v>0</v>
      </c>
      <c r="C2" s="6"/>
      <c r="D2" s="6"/>
      <c r="E2" s="6"/>
      <c r="F2" s="6"/>
      <c r="G2" s="6"/>
      <c r="H2" s="6"/>
      <c r="I2" s="6"/>
      <c r="J2" s="6"/>
      <c r="K2" s="6"/>
      <c r="L2" s="6"/>
      <c r="M2" s="6"/>
      <c r="N2" s="6"/>
      <c r="O2" s="6"/>
      <c r="P2" s="6"/>
      <c r="Q2" s="6"/>
      <c r="R2" s="6"/>
      <c r="S2" s="6"/>
      <c r="T2" s="6"/>
      <c r="U2" s="6"/>
      <c r="V2" s="6"/>
      <c r="W2" s="6"/>
      <c r="X2" s="6"/>
      <c r="Y2" s="3"/>
      <c r="Z2" s="3"/>
      <c r="AA2" s="3"/>
      <c r="AB2" s="3"/>
      <c r="AC2" s="3"/>
      <c r="AD2" s="3"/>
      <c r="AE2" s="3"/>
      <c r="AF2" s="3"/>
      <c r="AG2" s="3"/>
      <c r="AH2" s="3"/>
      <c r="AI2" s="3"/>
      <c r="AJ2" s="3"/>
      <c r="AK2" s="3"/>
      <c r="AL2" s="3"/>
      <c r="AM2" s="3"/>
      <c r="AN2" s="3"/>
      <c r="AO2" s="3"/>
      <c r="AP2" s="3"/>
      <c r="AQ2" s="3"/>
      <c r="AS2" s="3"/>
      <c r="AT2" s="7" t="s">
        <v>1</v>
      </c>
      <c r="AU2" s="8">
        <f>SUMIF($Y$6:$Y$79,"2022",$AT$6:$AT$79)</f>
        <v>5807.3723184407309</v>
      </c>
      <c r="AV2" s="8">
        <f>SUMIF($Y$6:$Y$79,"2023",$AT$6:$AT$79)</f>
        <v>5472.6179094768095</v>
      </c>
      <c r="AW2" s="9">
        <f>SUMIF($Y$6:$Y$79,"2024",$AT$6:$AT$79)</f>
        <v>5415.5676952981967</v>
      </c>
    </row>
    <row r="3" spans="2:49">
      <c r="AS3" s="10"/>
      <c r="AT3" s="1"/>
    </row>
    <row r="4" spans="2:49">
      <c r="B4" s="11" t="s">
        <v>2</v>
      </c>
      <c r="C4" s="11"/>
      <c r="D4" s="11" t="s">
        <v>3</v>
      </c>
      <c r="E4" s="12" t="s">
        <v>4</v>
      </c>
      <c r="F4" s="12"/>
      <c r="G4" s="12"/>
      <c r="H4" s="12"/>
      <c r="I4" s="12"/>
      <c r="J4" s="12"/>
      <c r="K4" s="12"/>
      <c r="L4" s="12"/>
      <c r="M4" s="12"/>
      <c r="N4" s="12"/>
      <c r="O4" s="12"/>
      <c r="P4" s="12"/>
      <c r="Q4" s="12"/>
      <c r="R4" s="12"/>
      <c r="S4" s="12"/>
      <c r="T4" s="12"/>
      <c r="U4" s="12"/>
      <c r="V4" s="12"/>
      <c r="W4" s="12"/>
      <c r="X4" s="12"/>
      <c r="Y4" s="13" t="s">
        <v>5</v>
      </c>
      <c r="Z4" s="14"/>
      <c r="AA4" s="14"/>
      <c r="AB4" s="14"/>
      <c r="AC4" s="14"/>
      <c r="AD4" s="14"/>
      <c r="AE4" s="14"/>
      <c r="AF4" s="14"/>
      <c r="AG4" s="14"/>
      <c r="AH4" s="14"/>
      <c r="AI4" s="14"/>
      <c r="AJ4" s="14"/>
      <c r="AK4" s="14"/>
      <c r="AL4" s="14"/>
      <c r="AM4" s="14"/>
      <c r="AN4" s="14"/>
      <c r="AO4" s="14"/>
      <c r="AP4" s="14"/>
      <c r="AQ4" s="14"/>
      <c r="AR4" s="15"/>
      <c r="AS4" s="14" t="s">
        <v>6</v>
      </c>
      <c r="AT4" s="14"/>
      <c r="AU4" s="14"/>
      <c r="AV4" s="14"/>
      <c r="AW4" s="14"/>
    </row>
    <row r="5" spans="2:49" ht="18">
      <c r="B5" s="16" t="s">
        <v>2</v>
      </c>
      <c r="C5" s="17" t="s">
        <v>7</v>
      </c>
      <c r="D5" s="18" t="s">
        <v>8</v>
      </c>
      <c r="E5" s="18" t="s">
        <v>9</v>
      </c>
      <c r="F5" s="18" t="s">
        <v>10</v>
      </c>
      <c r="G5" s="18" t="s">
        <v>11</v>
      </c>
      <c r="H5" s="18" t="s">
        <v>12</v>
      </c>
      <c r="I5" s="18" t="s">
        <v>13</v>
      </c>
      <c r="J5" s="18" t="s">
        <v>14</v>
      </c>
      <c r="K5" s="19" t="s">
        <v>15</v>
      </c>
      <c r="L5" s="19" t="s">
        <v>16</v>
      </c>
      <c r="M5" s="19" t="s">
        <v>17</v>
      </c>
      <c r="N5" s="19" t="s">
        <v>18</v>
      </c>
      <c r="O5" s="19" t="s">
        <v>19</v>
      </c>
      <c r="P5" s="19" t="s">
        <v>20</v>
      </c>
      <c r="Q5" s="19" t="s">
        <v>21</v>
      </c>
      <c r="R5" s="19" t="s">
        <v>22</v>
      </c>
      <c r="S5" s="19" t="s">
        <v>23</v>
      </c>
      <c r="T5" s="19" t="s">
        <v>24</v>
      </c>
      <c r="U5" s="19" t="s">
        <v>25</v>
      </c>
      <c r="V5" s="19" t="s">
        <v>26</v>
      </c>
      <c r="W5" s="19" t="s">
        <v>27</v>
      </c>
      <c r="X5" s="18" t="s">
        <v>28</v>
      </c>
      <c r="Y5" s="20" t="s">
        <v>29</v>
      </c>
      <c r="Z5" s="20" t="s">
        <v>9</v>
      </c>
      <c r="AA5" s="20" t="s">
        <v>30</v>
      </c>
      <c r="AB5" s="20" t="s">
        <v>31</v>
      </c>
      <c r="AC5" s="20" t="s">
        <v>16</v>
      </c>
      <c r="AD5" s="20" t="s">
        <v>17</v>
      </c>
      <c r="AE5" s="20" t="s">
        <v>18</v>
      </c>
      <c r="AF5" s="20" t="s">
        <v>19</v>
      </c>
      <c r="AG5" s="20" t="s">
        <v>20</v>
      </c>
      <c r="AH5" s="20" t="s">
        <v>21</v>
      </c>
      <c r="AI5" s="20" t="s">
        <v>22</v>
      </c>
      <c r="AJ5" s="20" t="s">
        <v>23</v>
      </c>
      <c r="AK5" s="20" t="s">
        <v>24</v>
      </c>
      <c r="AL5" s="20" t="s">
        <v>25</v>
      </c>
      <c r="AM5" s="20" t="s">
        <v>26</v>
      </c>
      <c r="AN5" s="20" t="s">
        <v>27</v>
      </c>
      <c r="AO5" s="20" t="s">
        <v>32</v>
      </c>
      <c r="AP5" s="20" t="s">
        <v>15</v>
      </c>
      <c r="AQ5" s="20" t="s">
        <v>28</v>
      </c>
      <c r="AR5" s="21" t="s">
        <v>33</v>
      </c>
      <c r="AS5" s="22" t="s">
        <v>34</v>
      </c>
      <c r="AT5" s="22" t="s">
        <v>35</v>
      </c>
      <c r="AU5" s="21" t="s">
        <v>36</v>
      </c>
      <c r="AV5" s="21" t="s">
        <v>37</v>
      </c>
      <c r="AW5" s="21" t="s">
        <v>38</v>
      </c>
    </row>
    <row r="6" spans="2:49">
      <c r="B6" s="23">
        <v>1</v>
      </c>
      <c r="C6" s="23" t="s">
        <v>39</v>
      </c>
      <c r="D6" s="23" t="s">
        <v>40</v>
      </c>
      <c r="E6" s="24" t="s">
        <v>41</v>
      </c>
      <c r="F6" s="24" t="s">
        <v>42</v>
      </c>
      <c r="G6" s="25" t="s">
        <v>43</v>
      </c>
      <c r="H6" s="24" t="s">
        <v>44</v>
      </c>
      <c r="I6" s="25" t="s">
        <v>45</v>
      </c>
      <c r="J6" s="24"/>
      <c r="K6" s="26">
        <v>21.896259357123554</v>
      </c>
      <c r="L6" s="27">
        <v>1.7928165976202428</v>
      </c>
      <c r="M6" s="27">
        <v>1.6324212953513646</v>
      </c>
      <c r="N6" s="27">
        <v>1.6471847263058601</v>
      </c>
      <c r="O6" s="27">
        <v>2.0347238234985849</v>
      </c>
      <c r="P6" s="27">
        <v>1.9814760672775116</v>
      </c>
      <c r="Q6" s="27">
        <v>1.5390640945724547</v>
      </c>
      <c r="R6" s="27">
        <v>2.0951130577728256</v>
      </c>
      <c r="S6" s="27">
        <v>2.086483266125696</v>
      </c>
      <c r="T6" s="27">
        <v>2.0737647493642397</v>
      </c>
      <c r="U6" s="27">
        <v>1.5738171547724777</v>
      </c>
      <c r="V6" s="27">
        <v>1.3474809547713746</v>
      </c>
      <c r="W6" s="27">
        <v>2.0919135696909184</v>
      </c>
      <c r="X6" s="28" t="s">
        <v>46</v>
      </c>
      <c r="Y6" s="23">
        <v>2022</v>
      </c>
      <c r="Z6" s="23" t="str">
        <f>VLOOKUP($E6,'[1]5-2. Emission Facility'!$B$7:$D$16,2,0)</f>
        <v>Vehicle</v>
      </c>
      <c r="AA6" s="23" t="str">
        <f>VLOOKUP($Z6,'[1]5-2. Emission Facility'!$C$7:$D$16,2,0)</f>
        <v>Mobile combustion</v>
      </c>
      <c r="AB6" s="23" t="str">
        <f>IF($C6="","",IF(VLOOKUP($C6,'[1]1. General Facility Information'!$C$7:$E$13,3,0)="Korea",'Scope 1'!$I6,INDEX('[1]5-1. Fuel Density'!$B$6:$B$18,MATCH('Scope 1'!$I6,'[1]5-1. Fuel Density'!$C$6:$C$18,0))))</f>
        <v>Automotive gasoline (petrol)</v>
      </c>
      <c r="AC6" s="23">
        <f>IF(OR($X6="㎥",$X6="kg"),$L6,"")</f>
        <v>1.7928165976202428</v>
      </c>
      <c r="AD6" s="23">
        <f t="shared" ref="AD6:AN21" si="0">IF(OR($X6="㎥",$X6="kg"),M6,"")</f>
        <v>1.6324212953513646</v>
      </c>
      <c r="AE6" s="23">
        <f t="shared" si="0"/>
        <v>1.6471847263058601</v>
      </c>
      <c r="AF6" s="23">
        <f t="shared" si="0"/>
        <v>2.0347238234985849</v>
      </c>
      <c r="AG6" s="23">
        <f t="shared" si="0"/>
        <v>1.9814760672775116</v>
      </c>
      <c r="AH6" s="23">
        <f t="shared" si="0"/>
        <v>1.5390640945724547</v>
      </c>
      <c r="AI6" s="23">
        <f t="shared" si="0"/>
        <v>2.0951130577728256</v>
      </c>
      <c r="AJ6" s="23">
        <f t="shared" si="0"/>
        <v>2.086483266125696</v>
      </c>
      <c r="AK6" s="23">
        <f t="shared" si="0"/>
        <v>2.0737647493642397</v>
      </c>
      <c r="AL6" s="23">
        <f t="shared" si="0"/>
        <v>1.5738171547724777</v>
      </c>
      <c r="AM6" s="23">
        <f t="shared" si="0"/>
        <v>1.3474809547713746</v>
      </c>
      <c r="AN6" s="23">
        <f t="shared" si="0"/>
        <v>2.0919135696909184</v>
      </c>
      <c r="AO6" s="23" t="str">
        <f>IF(SUM(AC6:AN6)-AP6=0,"","X")</f>
        <v/>
      </c>
      <c r="AP6" s="29">
        <f>IF(OR($X6="㎥",$X6="kg"),$K6,"")</f>
        <v>21.896259357123554</v>
      </c>
      <c r="AQ6" s="23" t="str">
        <f>IF(OR($X6="㎥",$X6="kg"),$X6,"")</f>
        <v>㎥</v>
      </c>
      <c r="AR6" s="30">
        <f>IF($C6="","",$AP6*IF($AQ6="㎥",VLOOKUP('Scope 1'!AQ6,'[1]5-3. Unit Conversion'!$B$5:$J$13,3,FALSE)*VLOOKUP('Scope 1'!AB6,'[1]5-1. Fuel Density'!$B$6:$D$18,3,FALSE)*1000,IF($AQ6="kg",VLOOKUP('Scope 1'!AQ6,'[1]5-3. Unit Conversion'!$B$16:$G$21,3,FALSE),0)))</f>
        <v>16225.128183628554</v>
      </c>
      <c r="AS6" s="31">
        <f>IFERROR(IF($AB6="","",IF(VLOOKUP($AB6,'[1]5-1. Fuel Density'!$B$6:$G$19,6,0)="Use of other GHGs",0,IF($AB6="Industrial Wastes",$AR6*'[1]5-4. Calorific&amp;Emission factor'!$R$75,$AR6*VLOOKUP($AB6,'[1]5-4. Calorific&amp;Emission factor'!$P$9:$R$74,3,FALSE)))),0)</f>
        <v>718773.17853474489</v>
      </c>
      <c r="AT6" s="32">
        <f>IF($AB6="","",IF(OR($AB6="Hydrofluorocarbons(HFCs)",$AB6="ETC"),$AR6*VLOOKUP($J6,'[1]5-4. Calorific&amp;Emission factor'!$B$10:$D$14,3,0)/1000,IF(VLOOKUP($AB6,'[1]5-1. Fuel Density'!$B$6:$G$19,6,0)="Use of other GHGs",$AU6/1000,(($AU6*'[1]5-4. Calorific&amp;Emission factor'!$D$7)+($AV6*'[1]5-4. Calorific&amp;Emission factor'!$D$8)+($AW6*'[1]5-4. Calorific&amp;Emission factor'!$D$9))/1000)))</f>
        <v>49.986936946563119</v>
      </c>
      <c r="AU6" s="33">
        <f>IF($AB6="","",IF(VLOOKUP($AB6,'[1]5-1. Fuel Density'!$B$6:$G$19,6,0)="Use of other GHGs",$AR6*VLOOKUP($AB6,'[1]5-4. Calorific&amp;Emission factor'!$O$9:$Y$74,5,FALSE)/1000000,$AS6*VLOOKUP($AB6,'[1]5-4. Calorific&amp;Emission factor'!$P$9:$Y$74,4,FALSE)/1000000))</f>
        <v>49810.981272457815</v>
      </c>
      <c r="AV6" s="33">
        <f>IF($AB6="","",IF(VLOOKUP($AB6,'[1]5-1. Fuel Density'!$B$6:$G$19,6,0)="Use of other GHGs",0,$AS6*VLOOKUP($AB6,'[1]5-4. Calorific&amp;Emission factor'!$P$9:$Y$74,6,FALSE)/1000000))</f>
        <v>2.1563195356042346</v>
      </c>
      <c r="AW6" s="33">
        <f>IF($AB6="","",IF(VLOOKUP($AB6,'[1]5-1. Fuel Density'!$B$6:$G$19,6,0)="Use of other GHGs",0,$AS6*VLOOKUP($AB6,'[1]5-4. Calorific&amp;Emission factor'!$P$9:$Y$74,9,FALSE)/1000000))</f>
        <v>0.43126390712084689</v>
      </c>
    </row>
    <row r="7" spans="2:49">
      <c r="B7" s="23">
        <v>2</v>
      </c>
      <c r="C7" s="23" t="s">
        <v>47</v>
      </c>
      <c r="D7" s="23" t="s">
        <v>48</v>
      </c>
      <c r="E7" s="24" t="s">
        <v>41</v>
      </c>
      <c r="F7" s="24" t="s">
        <v>42</v>
      </c>
      <c r="G7" s="24" t="s">
        <v>49</v>
      </c>
      <c r="H7" s="24" t="s">
        <v>50</v>
      </c>
      <c r="I7" s="24" t="s">
        <v>51</v>
      </c>
      <c r="J7" s="24" t="s">
        <v>52</v>
      </c>
      <c r="K7" s="26">
        <v>30.254469999999994</v>
      </c>
      <c r="L7" s="27">
        <v>2.6508000000000003</v>
      </c>
      <c r="M7" s="27">
        <v>1.94136</v>
      </c>
      <c r="N7" s="27">
        <v>2.5689499999999996</v>
      </c>
      <c r="O7" s="27">
        <v>2.6143299999999998</v>
      </c>
      <c r="P7" s="27">
        <v>1.8048199999999999</v>
      </c>
      <c r="Q7" s="27">
        <v>2.89079</v>
      </c>
      <c r="R7" s="27">
        <v>2.8950800000000001</v>
      </c>
      <c r="S7" s="27">
        <v>2.8321300000000003</v>
      </c>
      <c r="T7" s="27">
        <v>2.59511</v>
      </c>
      <c r="U7" s="27">
        <v>2.3929399999999998</v>
      </c>
      <c r="V7" s="27">
        <v>2.50454</v>
      </c>
      <c r="W7" s="27">
        <v>2.5636199999999998</v>
      </c>
      <c r="X7" s="28" t="s">
        <v>46</v>
      </c>
      <c r="Y7" s="23">
        <v>2022</v>
      </c>
      <c r="Z7" s="23" t="str">
        <f>VLOOKUP($E7,'[1]5-2. Emission Facility'!$B$7:$D$16,2,0)</f>
        <v>Vehicle</v>
      </c>
      <c r="AA7" s="23" t="str">
        <f>VLOOKUP($Z7,'[1]5-2. Emission Facility'!$C$7:$D$16,2,0)</f>
        <v>Mobile combustion</v>
      </c>
      <c r="AB7" s="23" t="str">
        <f>IF($C7="","",IF(VLOOKUP($C7,'[1]1. General Facility Information'!$C$7:$E$13,3,0)="Korea",'Scope 1'!$I7,INDEX('[1]5-1. Fuel Density'!$B$6:$B$18,MATCH('Scope 1'!$I7,'[1]5-1. Fuel Density'!$C$6:$C$18,0))))</f>
        <v>Automotive gasoline (petrol)</v>
      </c>
      <c r="AC7" s="23">
        <f t="shared" ref="AC7:AC74" si="1">IF(OR($X7="㎥",$X7="kg"),$L7,"")</f>
        <v>2.6508000000000003</v>
      </c>
      <c r="AD7" s="23">
        <f t="shared" si="0"/>
        <v>1.94136</v>
      </c>
      <c r="AE7" s="23">
        <f t="shared" si="0"/>
        <v>2.5689499999999996</v>
      </c>
      <c r="AF7" s="23">
        <f t="shared" si="0"/>
        <v>2.6143299999999998</v>
      </c>
      <c r="AG7" s="23">
        <f t="shared" si="0"/>
        <v>1.8048199999999999</v>
      </c>
      <c r="AH7" s="23">
        <f t="shared" si="0"/>
        <v>2.89079</v>
      </c>
      <c r="AI7" s="23">
        <f t="shared" si="0"/>
        <v>2.8950800000000001</v>
      </c>
      <c r="AJ7" s="23">
        <f t="shared" si="0"/>
        <v>2.8321300000000003</v>
      </c>
      <c r="AK7" s="23">
        <f t="shared" si="0"/>
        <v>2.59511</v>
      </c>
      <c r="AL7" s="23">
        <f t="shared" si="0"/>
        <v>2.3929399999999998</v>
      </c>
      <c r="AM7" s="23">
        <f t="shared" si="0"/>
        <v>2.50454</v>
      </c>
      <c r="AN7" s="23">
        <f t="shared" si="0"/>
        <v>2.5636199999999998</v>
      </c>
      <c r="AO7" s="23" t="str">
        <f t="shared" ref="AO7:AO74" si="2">IF(SUM(AC7:AN7)-AP7=0,"","X")</f>
        <v/>
      </c>
      <c r="AP7" s="34">
        <f t="shared" ref="AP7:AP74" si="3">IF(OR($X7="㎥",$X7="kg"),$K7,"")</f>
        <v>30.254469999999994</v>
      </c>
      <c r="AQ7" s="23" t="str">
        <f t="shared" ref="AQ7:AQ74" si="4">IF(OR($X7="㎥",$X7="kg"),$X7,"")</f>
        <v>㎥</v>
      </c>
      <c r="AR7" s="35">
        <f>IF($C7="","",$AP7*IF($AQ7="㎥",VLOOKUP('Scope 1'!AQ7,'[1]5-3. Unit Conversion'!$B$5:$J$13,3,FALSE)*VLOOKUP('Scope 1'!AB7,'[1]5-1. Fuel Density'!$B$6:$D$18,3,FALSE)*1000,IF($AQ7="kg",VLOOKUP('Scope 1'!AQ7,'[1]5-3. Unit Conversion'!$B$16:$G$21,3,FALSE),0)))</f>
        <v>22418.562269999995</v>
      </c>
      <c r="AS7" s="35">
        <f>IFERROR(IF($AB7="","",IF(VLOOKUP($AB7,'[1]5-1. Fuel Density'!$B$6:$G$19,6,0)="Use of other GHGs",0,IF($AB7="Industrial Wastes",$AR7*'[1]5-4. Calorific&amp;Emission factor'!$R$75,$AR7*VLOOKUP($AB7,'[1]5-4. Calorific&amp;Emission factor'!$P$9:$R$74,3,FALSE)))),0)</f>
        <v>993142.30856099969</v>
      </c>
      <c r="AT7" s="32">
        <f>IF($AB7="","",IF(OR($AB7="Hydrofluorocarbons(HFCs)",$AB7="ETC"),$AR7*VLOOKUP($J7,'[1]5-4. Calorific&amp;Emission factor'!$B$10:$D$14,3,0)/1000,IF(VLOOKUP($AB7,'[1]5-1. Fuel Density'!$B$6:$G$19,6,0)="Use of other GHGs",$AU7/1000,(($AU7*'[1]5-4. Calorific&amp;Emission factor'!$D$7)+($AV7*'[1]5-4. Calorific&amp;Emission factor'!$D$8)+($AW7*'[1]5-4. Calorific&amp;Emission factor'!$D$9))/1000)))</f>
        <v>69.067883220412995</v>
      </c>
      <c r="AU7" s="33">
        <f>IF($AB7="","",IF(VLOOKUP($AB7,'[1]5-1. Fuel Density'!$B$6:$G$19,6,0)="Use of other GHGs",$AR7*VLOOKUP($AB7,'[1]5-4. Calorific&amp;Emission factor'!$O$9:$Y$74,5,FALSE)/1000000,$AS7*VLOOKUP($AB7,'[1]5-4. Calorific&amp;Emission factor'!$P$9:$Y$74,4,FALSE)/1000000))</f>
        <v>68824.761983277276</v>
      </c>
      <c r="AV7" s="33">
        <f>IF($AB7="","",IF(VLOOKUP($AB7,'[1]5-1. Fuel Density'!$B$6:$G$19,6,0)="Use of other GHGs",0,$AS7*VLOOKUP($AB7,'[1]5-4. Calorific&amp;Emission factor'!$P$9:$Y$74,6,FALSE)/1000000))</f>
        <v>2.9794269256829993</v>
      </c>
      <c r="AW7" s="33">
        <f>IF($AB7="","",IF(VLOOKUP($AB7,'[1]5-1. Fuel Density'!$B$6:$G$19,6,0)="Use of other GHGs",0,$AS7*VLOOKUP($AB7,'[1]5-4. Calorific&amp;Emission factor'!$P$9:$Y$74,9,FALSE)/1000000))</f>
        <v>0.59588538513659972</v>
      </c>
    </row>
    <row r="8" spans="2:49">
      <c r="B8" s="23">
        <v>3</v>
      </c>
      <c r="C8" s="23" t="s">
        <v>53</v>
      </c>
      <c r="D8" s="23" t="s">
        <v>48</v>
      </c>
      <c r="E8" s="24" t="s">
        <v>54</v>
      </c>
      <c r="F8" s="24" t="s">
        <v>42</v>
      </c>
      <c r="G8" s="24" t="s">
        <v>55</v>
      </c>
      <c r="H8" s="24" t="s">
        <v>56</v>
      </c>
      <c r="I8" s="24" t="s">
        <v>57</v>
      </c>
      <c r="J8" s="24" t="s">
        <v>58</v>
      </c>
      <c r="K8" s="26">
        <v>323390</v>
      </c>
      <c r="L8" s="27">
        <v>24973</v>
      </c>
      <c r="M8" s="27">
        <v>22164</v>
      </c>
      <c r="N8" s="27">
        <v>29643</v>
      </c>
      <c r="O8" s="27">
        <v>26953</v>
      </c>
      <c r="P8" s="27">
        <v>19481</v>
      </c>
      <c r="Q8" s="27">
        <v>26867</v>
      </c>
      <c r="R8" s="27">
        <v>24545</v>
      </c>
      <c r="S8" s="27">
        <v>27071</v>
      </c>
      <c r="T8" s="27">
        <v>31734</v>
      </c>
      <c r="U8" s="27">
        <v>29833</v>
      </c>
      <c r="V8" s="27">
        <v>30496</v>
      </c>
      <c r="W8" s="27">
        <v>29630</v>
      </c>
      <c r="X8" s="28" t="s">
        <v>59</v>
      </c>
      <c r="Y8" s="23">
        <v>2022</v>
      </c>
      <c r="Z8" s="23" t="str">
        <f>VLOOKUP($E8,'[1]5-2. Emission Facility'!$B$7:$D$16,2,0)</f>
        <v>Boiler</v>
      </c>
      <c r="AA8" s="23" t="str">
        <f>VLOOKUP($Z8,'[1]5-2. Emission Facility'!$C$7:$D$16,2,0)</f>
        <v>Stationary Combustion</v>
      </c>
      <c r="AB8" s="23" t="str">
        <f>IF($C8="","",IF(VLOOKUP($C8,'[1]1. General Facility Information'!$C$7:$E$13,3,0)="Korea",'Scope 1'!$I8,INDEX('[1]5-1. Fuel Density'!$B$6:$B$18,MATCH('Scope 1'!$I8,'[1]5-1. Fuel Density'!$C$6:$C$18,0))))</f>
        <v>Industrial Wastes</v>
      </c>
      <c r="AC8" s="23">
        <f t="shared" si="1"/>
        <v>24973</v>
      </c>
      <c r="AD8" s="23">
        <f t="shared" si="0"/>
        <v>22164</v>
      </c>
      <c r="AE8" s="23">
        <f t="shared" si="0"/>
        <v>29643</v>
      </c>
      <c r="AF8" s="23">
        <f t="shared" si="0"/>
        <v>26953</v>
      </c>
      <c r="AG8" s="23">
        <f t="shared" si="0"/>
        <v>19481</v>
      </c>
      <c r="AH8" s="23">
        <f t="shared" si="0"/>
        <v>26867</v>
      </c>
      <c r="AI8" s="23">
        <f t="shared" si="0"/>
        <v>24545</v>
      </c>
      <c r="AJ8" s="23">
        <f t="shared" si="0"/>
        <v>27071</v>
      </c>
      <c r="AK8" s="23">
        <f t="shared" si="0"/>
        <v>31734</v>
      </c>
      <c r="AL8" s="23">
        <f t="shared" si="0"/>
        <v>29833</v>
      </c>
      <c r="AM8" s="23">
        <f t="shared" si="0"/>
        <v>30496</v>
      </c>
      <c r="AN8" s="23">
        <f t="shared" si="0"/>
        <v>29630</v>
      </c>
      <c r="AO8" s="23" t="str">
        <f t="shared" si="2"/>
        <v/>
      </c>
      <c r="AP8" s="34">
        <f t="shared" si="3"/>
        <v>323390</v>
      </c>
      <c r="AQ8" s="23" t="str">
        <f t="shared" si="4"/>
        <v>kg</v>
      </c>
      <c r="AR8" s="35">
        <f>IF($C8="","",$AP8*IF($AQ8="㎥",VLOOKUP('Scope 1'!AQ8,'[1]5-3. Unit Conversion'!$B$5:$J$13,3,FALSE)*VLOOKUP('Scope 1'!AB8,'[1]5-1. Fuel Density'!$B$6:$D$18,3,FALSE)*1000,IF($AQ8="kg",VLOOKUP('Scope 1'!AQ8,'[1]5-3. Unit Conversion'!$B$16:$G$21,3,FALSE),0)))</f>
        <v>323390</v>
      </c>
      <c r="AS8" s="35">
        <f>IFERROR(IF($AB8="","",IF(VLOOKUP($AB8,'[1]5-1. Fuel Density'!$B$6:$G$19,6,0)="Use of other GHGs",0,IF($AB8="Industrial Wastes",$AR8*'[1]5-4. Calorific&amp;Emission factor'!$R$75,$AR8*VLOOKUP($AB8,'[1]5-4. Calorific&amp;Emission factor'!$P$9:$R$74,3,FALSE)))),0)</f>
        <v>7035936.5452352231</v>
      </c>
      <c r="AT8" s="32">
        <f>IF($AB8="","",IF(OR($AB8="Hydrofluorocarbons(HFCs)",$AB8="ETC"),$AR8*VLOOKUP($J8,'[1]5-4. Calorific&amp;Emission factor'!$B$10:$D$14,3,0)/1000,IF(VLOOKUP($AB8,'[1]5-1. Fuel Density'!$B$6:$G$19,6,0)="Use of other GHGs",$AU8/1000,(($AU8*'[1]5-4. Calorific&amp;Emission factor'!$D$7)+($AV8*'[1]5-4. Calorific&amp;Emission factor'!$D$8)+($AW8*'[1]5-4. Calorific&amp;Emission factor'!$D$9))/1000)))</f>
        <v>1019.5212772776744</v>
      </c>
      <c r="AU8" s="33">
        <f>IF($AB8="","",IF(VLOOKUP($AB8,'[1]5-1. Fuel Density'!$B$6:$G$19,6,0)="Use of other GHGs",$AR8*VLOOKUP($AB8,'[1]5-4. Calorific&amp;Emission factor'!$O$9:$Y$74,5,FALSE)/1000000,$AS8*VLOOKUP($AB8,'[1]5-4. Calorific&amp;Emission factor'!$P$9:$Y$74,4,FALSE)/1000000))</f>
        <v>1006138.925968637</v>
      </c>
      <c r="AV8" s="33">
        <f>IF($AB8="","",IF(VLOOKUP($AB8,'[1]5-1. Fuel Density'!$B$6:$G$19,6,0)="Use of other GHGs",0,$AS8*VLOOKUP($AB8,'[1]5-4. Calorific&amp;Emission factor'!$P$9:$Y$74,6,FALSE)/1000000))</f>
        <v>211.07809635705669</v>
      </c>
      <c r="AW8" s="33">
        <f>IF($AB8="","",IF(VLOOKUP($AB8,'[1]5-1. Fuel Density'!$B$6:$G$19,6,0)="Use of other GHGs",0,$AS8*VLOOKUP($AB8,'[1]5-4. Calorific&amp;Emission factor'!$P$9:$Y$74,9,FALSE)/1000000))</f>
        <v>28.143746180940891</v>
      </c>
    </row>
    <row r="9" spans="2:49">
      <c r="B9" s="23">
        <v>4</v>
      </c>
      <c r="C9" s="23" t="s">
        <v>53</v>
      </c>
      <c r="D9" s="23" t="s">
        <v>48</v>
      </c>
      <c r="E9" s="24" t="s">
        <v>60</v>
      </c>
      <c r="F9" s="24" t="s">
        <v>42</v>
      </c>
      <c r="G9" s="24" t="s">
        <v>49</v>
      </c>
      <c r="H9" s="24" t="s">
        <v>61</v>
      </c>
      <c r="I9" s="24" t="s">
        <v>62</v>
      </c>
      <c r="J9" s="24" t="s">
        <v>63</v>
      </c>
      <c r="K9" s="26">
        <v>1.5500000000000003</v>
      </c>
      <c r="L9" s="27">
        <v>0.13</v>
      </c>
      <c r="M9" s="27">
        <v>0.13</v>
      </c>
      <c r="N9" s="27">
        <v>0.14000000000000001</v>
      </c>
      <c r="O9" s="27">
        <v>0.14000000000000001</v>
      </c>
      <c r="P9" s="27">
        <v>0.12</v>
      </c>
      <c r="Q9" s="27">
        <v>0.12</v>
      </c>
      <c r="R9" s="27">
        <v>0.13</v>
      </c>
      <c r="S9" s="27">
        <v>0.14000000000000001</v>
      </c>
      <c r="T9" s="27">
        <v>0.14000000000000001</v>
      </c>
      <c r="U9" s="27">
        <v>0.12</v>
      </c>
      <c r="V9" s="27">
        <v>0.12</v>
      </c>
      <c r="W9" s="27">
        <v>0.12</v>
      </c>
      <c r="X9" s="28" t="s">
        <v>46</v>
      </c>
      <c r="Y9" s="23">
        <v>2022</v>
      </c>
      <c r="Z9" s="23" t="str">
        <f>VLOOKUP($E9,'[1]5-2. Emission Facility'!$B$7:$D$16,2,0)</f>
        <v>Forklift</v>
      </c>
      <c r="AA9" s="23" t="str">
        <f>VLOOKUP($Z9,'[1]5-2. Emission Facility'!$C$7:$D$16,2,0)</f>
        <v>Mobile combustion</v>
      </c>
      <c r="AB9" s="23" t="str">
        <f>IF($C9="","",IF(VLOOKUP($C9,'[1]1. General Facility Information'!$C$7:$E$13,3,0)="Korea",'Scope 1'!$I9,INDEX('[1]5-1. Fuel Density'!$B$6:$B$18,MATCH('Scope 1'!$I9,'[1]5-1. Fuel Density'!$C$6:$C$18,0))))</f>
        <v>Biodiesel</v>
      </c>
      <c r="AC9" s="23">
        <f t="shared" si="1"/>
        <v>0.13</v>
      </c>
      <c r="AD9" s="23">
        <f t="shared" si="0"/>
        <v>0.13</v>
      </c>
      <c r="AE9" s="23">
        <f t="shared" si="0"/>
        <v>0.14000000000000001</v>
      </c>
      <c r="AF9" s="23">
        <f t="shared" si="0"/>
        <v>0.14000000000000001</v>
      </c>
      <c r="AG9" s="23">
        <f t="shared" si="0"/>
        <v>0.12</v>
      </c>
      <c r="AH9" s="23">
        <f t="shared" si="0"/>
        <v>0.12</v>
      </c>
      <c r="AI9" s="23">
        <f t="shared" si="0"/>
        <v>0.13</v>
      </c>
      <c r="AJ9" s="23">
        <f t="shared" si="0"/>
        <v>0.14000000000000001</v>
      </c>
      <c r="AK9" s="23">
        <f t="shared" si="0"/>
        <v>0.14000000000000001</v>
      </c>
      <c r="AL9" s="23">
        <f t="shared" si="0"/>
        <v>0.12</v>
      </c>
      <c r="AM9" s="23">
        <f t="shared" si="0"/>
        <v>0.12</v>
      </c>
      <c r="AN9" s="23">
        <f t="shared" si="0"/>
        <v>0.12</v>
      </c>
      <c r="AO9" s="23" t="str">
        <f t="shared" si="2"/>
        <v/>
      </c>
      <c r="AP9" s="34">
        <f t="shared" si="3"/>
        <v>1.5500000000000003</v>
      </c>
      <c r="AQ9" s="23" t="str">
        <f t="shared" si="4"/>
        <v>㎥</v>
      </c>
      <c r="AR9" s="35">
        <f>IF($C9="","",$AP9*IF($AQ9="㎥",VLOOKUP('Scope 1'!AQ9,'[1]5-3. Unit Conversion'!$B$5:$J$13,3,FALSE)*VLOOKUP('Scope 1'!AB9,'[1]5-1. Fuel Density'!$B$6:$D$18,3,FALSE)*1000,IF($AQ9="kg",VLOOKUP('Scope 1'!AQ9,'[1]5-3. Unit Conversion'!$B$16:$G$21,3,FALSE),0)))</f>
        <v>1309.7500000000002</v>
      </c>
      <c r="AS9" s="35">
        <f>IFERROR(IF($AB9="","",IF(VLOOKUP($AB9,'[1]5-1. Fuel Density'!$B$6:$G$19,6,0)="Use of other GHGs",0,IF($AB9="Industrial Wastes",$AR9*'[1]5-4. Calorific&amp;Emission factor'!$R$75,$AR9*VLOOKUP($AB9,'[1]5-4. Calorific&amp;Emission factor'!$P$9:$R$74,3,FALSE)))),0)</f>
        <v>35363.250000000007</v>
      </c>
      <c r="AT9" s="32">
        <f>IF($AB9="","",IF(OR($AB9="Hydrofluorocarbons(HFCs)",$AB9="ETC"),$AR9*VLOOKUP($J9,'[1]5-4. Calorific&amp;Emission factor'!$B$10:$D$14,3,0)/1000,IF(VLOOKUP($AB9,'[1]5-1. Fuel Density'!$B$6:$G$19,6,0)="Use of other GHGs",$AU9/1000,(($AU9*'[1]5-4. Calorific&amp;Emission factor'!$D$7)+($AV9*'[1]5-4. Calorific&amp;Emission factor'!$D$8)+($AW9*'[1]5-4. Calorific&amp;Emission factor'!$D$9))/1000)))</f>
        <v>2.5123750236000006</v>
      </c>
      <c r="AU9" s="33">
        <f>IF($AB9="","",IF(VLOOKUP($AB9,'[1]5-1. Fuel Density'!$B$6:$G$19,6,0)="Use of other GHGs",$AR9*VLOOKUP($AB9,'[1]5-4. Calorific&amp;Emission factor'!$O$9:$Y$74,5,FALSE)/1000000,$AS9*VLOOKUP($AB9,'[1]5-4. Calorific&amp;Emission factor'!$P$9:$Y$74,4,FALSE)/1000000))</f>
        <v>2503.7181000000005</v>
      </c>
      <c r="AV9" s="33">
        <f>IF($AB9="","",IF(VLOOKUP($AB9,'[1]5-1. Fuel Density'!$B$6:$G$19,6,0)="Use of other GHGs",0,$AS9*VLOOKUP($AB9,'[1]5-4. Calorific&amp;Emission factor'!$P$9:$Y$74,6,FALSE)/1000000))</f>
        <v>0.10608975000000002</v>
      </c>
      <c r="AW9" s="33">
        <f>IF($AB9="","",IF(VLOOKUP($AB9,'[1]5-1. Fuel Density'!$B$6:$G$19,6,0)="Use of other GHGs",0,$AS9*VLOOKUP($AB9,'[1]5-4. Calorific&amp;Emission factor'!$P$9:$Y$74,9,FALSE)/1000000))</f>
        <v>2.1217950000000003E-2</v>
      </c>
    </row>
    <row r="10" spans="2:49">
      <c r="B10" s="23">
        <v>5</v>
      </c>
      <c r="C10" s="23" t="s">
        <v>53</v>
      </c>
      <c r="D10" s="23" t="s">
        <v>48</v>
      </c>
      <c r="E10" s="24" t="s">
        <v>64</v>
      </c>
      <c r="F10" s="24" t="s">
        <v>42</v>
      </c>
      <c r="G10" s="24" t="s">
        <v>65</v>
      </c>
      <c r="H10" s="24" t="s">
        <v>66</v>
      </c>
      <c r="I10" s="24" t="s">
        <v>67</v>
      </c>
      <c r="J10" s="24" t="s">
        <v>68</v>
      </c>
      <c r="K10" s="26">
        <v>312</v>
      </c>
      <c r="L10" s="27">
        <v>36</v>
      </c>
      <c r="M10" s="27">
        <v>36</v>
      </c>
      <c r="N10" s="27">
        <v>24</v>
      </c>
      <c r="O10" s="27">
        <v>24</v>
      </c>
      <c r="P10" s="27">
        <v>12</v>
      </c>
      <c r="Q10" s="27">
        <v>24</v>
      </c>
      <c r="R10" s="27">
        <v>36</v>
      </c>
      <c r="S10" s="27">
        <v>24</v>
      </c>
      <c r="T10" s="27">
        <v>12</v>
      </c>
      <c r="U10" s="27">
        <v>24</v>
      </c>
      <c r="V10" s="27">
        <v>48</v>
      </c>
      <c r="W10" s="27">
        <v>12</v>
      </c>
      <c r="X10" s="28" t="s">
        <v>59</v>
      </c>
      <c r="Y10" s="23">
        <v>2022</v>
      </c>
      <c r="Z10" s="23" t="str">
        <f>VLOOKUP($E10,'[1]5-2. Emission Facility'!$B$7:$D$16,2,0)</f>
        <v>Kitchen</v>
      </c>
      <c r="AA10" s="23" t="str">
        <f>VLOOKUP($Z10,'[1]5-2. Emission Facility'!$C$7:$D$16,2,0)</f>
        <v>Others</v>
      </c>
      <c r="AB10" s="23" t="str">
        <f>IF($C10="","",IF(VLOOKUP($C10,'[1]1. General Facility Information'!$C$7:$E$13,3,0)="Korea",'Scope 1'!$I10,INDEX('[1]5-1. Fuel Density'!$B$6:$B$18,MATCH('Scope 1'!$I10,'[1]5-1. Fuel Density'!$C$6:$C$18,0))))</f>
        <v>Liquefied Petroleum Gas (LPG)</v>
      </c>
      <c r="AC10" s="23">
        <f t="shared" si="1"/>
        <v>36</v>
      </c>
      <c r="AD10" s="23">
        <f t="shared" si="0"/>
        <v>36</v>
      </c>
      <c r="AE10" s="23">
        <f t="shared" si="0"/>
        <v>24</v>
      </c>
      <c r="AF10" s="23">
        <f t="shared" si="0"/>
        <v>24</v>
      </c>
      <c r="AG10" s="23">
        <f t="shared" si="0"/>
        <v>12</v>
      </c>
      <c r="AH10" s="23">
        <f t="shared" si="0"/>
        <v>24</v>
      </c>
      <c r="AI10" s="23">
        <f t="shared" si="0"/>
        <v>36</v>
      </c>
      <c r="AJ10" s="23">
        <f t="shared" si="0"/>
        <v>24</v>
      </c>
      <c r="AK10" s="23">
        <f t="shared" si="0"/>
        <v>12</v>
      </c>
      <c r="AL10" s="23">
        <f t="shared" si="0"/>
        <v>24</v>
      </c>
      <c r="AM10" s="23">
        <f t="shared" si="0"/>
        <v>48</v>
      </c>
      <c r="AN10" s="23">
        <f t="shared" si="0"/>
        <v>12</v>
      </c>
      <c r="AO10" s="23" t="str">
        <f t="shared" si="2"/>
        <v/>
      </c>
      <c r="AP10" s="34">
        <f t="shared" si="3"/>
        <v>312</v>
      </c>
      <c r="AQ10" s="23" t="str">
        <f t="shared" si="4"/>
        <v>kg</v>
      </c>
      <c r="AR10" s="35">
        <f>IF($C10="","",$AP10*IF($AQ10="㎥",VLOOKUP('Scope 1'!AQ10,'[1]5-3. Unit Conversion'!$B$5:$J$13,3,FALSE)*VLOOKUP('Scope 1'!AB10,'[1]5-1. Fuel Density'!$B$6:$D$18,3,FALSE)*1000,IF($AQ10="kg",VLOOKUP('Scope 1'!AQ10,'[1]5-3. Unit Conversion'!$B$16:$G$21,3,FALSE),0)))</f>
        <v>312</v>
      </c>
      <c r="AS10" s="35">
        <f>IFERROR(IF($AB10="","",IF(VLOOKUP($AB10,'[1]5-1. Fuel Density'!$B$6:$G$19,6,0)="Use of other GHGs",0,IF($AB10="Industrial Wastes",$AR10*'[1]5-4. Calorific&amp;Emission factor'!$R$75,$AR10*VLOOKUP($AB10,'[1]5-4. Calorific&amp;Emission factor'!$P$9:$R$74,3,FALSE)))),0)</f>
        <v>14757.599999999999</v>
      </c>
      <c r="AT10" s="32">
        <f>IF($AB10="","",IF(OR($AB10="Hydrofluorocarbons(HFCs)",$AB10="ETC"),$AR10*VLOOKUP($J10,'[1]5-4. Calorific&amp;Emission factor'!$B$10:$D$14,3,0)/1000,IF(VLOOKUP($AB10,'[1]5-1. Fuel Density'!$B$6:$G$19,6,0)="Use of other GHGs",$AU10/1000,(($AU10*'[1]5-4. Calorific&amp;Emission factor'!$D$7)+($AV10*'[1]5-4. Calorific&amp;Emission factor'!$D$8)+($AW10*'[1]5-4. Calorific&amp;Emission factor'!$D$9))/1000)))</f>
        <v>0.93200589767999986</v>
      </c>
      <c r="AU10" s="33">
        <f>IF($AB10="","",IF(VLOOKUP($AB10,'[1]5-1. Fuel Density'!$B$6:$G$19,6,0)="Use of other GHGs",$AR10*VLOOKUP($AB10,'[1]5-4. Calorific&amp;Emission factor'!$O$9:$Y$74,5,FALSE)/1000000,$AS10*VLOOKUP($AB10,'[1]5-4. Calorific&amp;Emission factor'!$P$9:$Y$74,4,FALSE)/1000000))</f>
        <v>931.2045599999999</v>
      </c>
      <c r="AV10" s="33">
        <f>IF($AB10="","",IF(VLOOKUP($AB10,'[1]5-1. Fuel Density'!$B$6:$G$19,6,0)="Use of other GHGs",0,$AS10*VLOOKUP($AB10,'[1]5-4. Calorific&amp;Emission factor'!$P$9:$Y$74,6,FALSE)/1000000))</f>
        <v>1.4757599999999999E-2</v>
      </c>
      <c r="AW10" s="33">
        <f>IF($AB10="","",IF(VLOOKUP($AB10,'[1]5-1. Fuel Density'!$B$6:$G$19,6,0)="Use of other GHGs",0,$AS10*VLOOKUP($AB10,'[1]5-4. Calorific&amp;Emission factor'!$P$9:$Y$74,9,FALSE)/1000000))</f>
        <v>1.47576E-3</v>
      </c>
    </row>
    <row r="11" spans="2:49">
      <c r="B11" s="23">
        <v>6</v>
      </c>
      <c r="C11" s="23" t="s">
        <v>69</v>
      </c>
      <c r="D11" s="23" t="s">
        <v>70</v>
      </c>
      <c r="E11" s="24" t="s">
        <v>71</v>
      </c>
      <c r="F11" s="24" t="s">
        <v>42</v>
      </c>
      <c r="G11" s="24" t="s">
        <v>72</v>
      </c>
      <c r="H11" s="24"/>
      <c r="I11" s="24" t="s">
        <v>67</v>
      </c>
      <c r="J11" s="24" t="s">
        <v>68</v>
      </c>
      <c r="K11" s="26">
        <v>902.02999999999986</v>
      </c>
      <c r="L11" s="27">
        <v>72</v>
      </c>
      <c r="M11" s="27">
        <v>72</v>
      </c>
      <c r="N11" s="27">
        <v>72</v>
      </c>
      <c r="O11" s="27">
        <v>84</v>
      </c>
      <c r="P11" s="27">
        <v>72</v>
      </c>
      <c r="Q11" s="27">
        <v>85.15</v>
      </c>
      <c r="R11" s="27">
        <v>74.3</v>
      </c>
      <c r="S11" s="27">
        <v>86.3</v>
      </c>
      <c r="T11" s="27">
        <v>73.84</v>
      </c>
      <c r="U11" s="27">
        <v>74.3</v>
      </c>
      <c r="V11" s="27">
        <v>73.84</v>
      </c>
      <c r="W11" s="27">
        <v>62.3</v>
      </c>
      <c r="X11" s="28" t="s">
        <v>59</v>
      </c>
      <c r="Y11" s="23">
        <v>2022</v>
      </c>
      <c r="Z11" s="23" t="str">
        <f>VLOOKUP($E11,'[1]5-2. Emission Facility'!$B$7:$D$16,2,0)</f>
        <v>Mess</v>
      </c>
      <c r="AA11" s="23" t="str">
        <f>VLOOKUP($Z11,'[1]5-2. Emission Facility'!$C$7:$D$16,2,0)</f>
        <v>Others</v>
      </c>
      <c r="AB11" s="23" t="str">
        <f>IF($C11="","",IF(VLOOKUP($C11,'[1]1. General Facility Information'!$C$7:$E$13,3,0)="Korea",'Scope 1'!$I11,INDEX('[1]5-1. Fuel Density'!$B$6:$B$18,MATCH('Scope 1'!$I11,'[1]5-1. Fuel Density'!$C$6:$C$18,0))))</f>
        <v>Liquefied Petroleum Gas (LPG)</v>
      </c>
      <c r="AC11" s="23">
        <f t="shared" si="1"/>
        <v>72</v>
      </c>
      <c r="AD11" s="23">
        <f t="shared" si="0"/>
        <v>72</v>
      </c>
      <c r="AE11" s="23">
        <f t="shared" si="0"/>
        <v>72</v>
      </c>
      <c r="AF11" s="23">
        <f t="shared" si="0"/>
        <v>84</v>
      </c>
      <c r="AG11" s="23">
        <f t="shared" si="0"/>
        <v>72</v>
      </c>
      <c r="AH11" s="23">
        <f t="shared" si="0"/>
        <v>85.15</v>
      </c>
      <c r="AI11" s="23">
        <f t="shared" si="0"/>
        <v>74.3</v>
      </c>
      <c r="AJ11" s="23">
        <f t="shared" si="0"/>
        <v>86.3</v>
      </c>
      <c r="AK11" s="23">
        <f t="shared" si="0"/>
        <v>73.84</v>
      </c>
      <c r="AL11" s="23">
        <f t="shared" si="0"/>
        <v>74.3</v>
      </c>
      <c r="AM11" s="23">
        <f t="shared" si="0"/>
        <v>73.84</v>
      </c>
      <c r="AN11" s="23">
        <f t="shared" si="0"/>
        <v>62.3</v>
      </c>
      <c r="AO11" s="23" t="str">
        <f t="shared" si="2"/>
        <v/>
      </c>
      <c r="AP11" s="34">
        <f t="shared" si="3"/>
        <v>902.02999999999986</v>
      </c>
      <c r="AQ11" s="23" t="str">
        <f t="shared" si="4"/>
        <v>kg</v>
      </c>
      <c r="AR11" s="35">
        <f>IF($C11="","",$AP11*IF($AQ11="㎥",VLOOKUP('Scope 1'!AQ11,'[1]5-3. Unit Conversion'!$B$5:$J$13,3,FALSE)*VLOOKUP('Scope 1'!AB11,'[1]5-1. Fuel Density'!$B$6:$D$18,3,FALSE)*1000,IF($AQ11="kg",VLOOKUP('Scope 1'!AQ11,'[1]5-3. Unit Conversion'!$B$16:$G$21,3,FALSE),0)))</f>
        <v>902.02999999999986</v>
      </c>
      <c r="AS11" s="35">
        <f>IFERROR(IF($AB11="","",IF(VLOOKUP($AB11,'[1]5-1. Fuel Density'!$B$6:$G$19,6,0)="Use of other GHGs",0,IF($AB11="Industrial Wastes",$AR11*'[1]5-4. Calorific&amp;Emission factor'!$R$75,$AR11*VLOOKUP($AB11,'[1]5-4. Calorific&amp;Emission factor'!$P$9:$R$74,3,FALSE)))),0)</f>
        <v>42666.018999999993</v>
      </c>
      <c r="AT11" s="32">
        <f>IF($AB11="","",IF(OR($AB11="Hydrofluorocarbons(HFCs)",$AB11="ETC"),$AR11*VLOOKUP($J11,'[1]5-4. Calorific&amp;Emission factor'!$B$10:$D$14,3,0)/1000,IF(VLOOKUP($AB11,'[1]5-1. Fuel Density'!$B$6:$G$19,6,0)="Use of other GHGs",$AU11/1000,(($AU11*'[1]5-4. Calorific&amp;Emission factor'!$D$7)+($AV11*'[1]5-4. Calorific&amp;Emission factor'!$D$8)+($AW11*'[1]5-4. Calorific&amp;Emission factor'!$D$9))/1000)))</f>
        <v>2.6945425637316993</v>
      </c>
      <c r="AU11" s="33">
        <f>IF($AB11="","",IF(VLOOKUP($AB11,'[1]5-1. Fuel Density'!$B$6:$G$19,6,0)="Use of other GHGs",$AR11*VLOOKUP($AB11,'[1]5-4. Calorific&amp;Emission factor'!$O$9:$Y$74,5,FALSE)/1000000,$AS11*VLOOKUP($AB11,'[1]5-4. Calorific&amp;Emission factor'!$P$9:$Y$74,4,FALSE)/1000000))</f>
        <v>2692.2257988999995</v>
      </c>
      <c r="AV11" s="33">
        <f>IF($AB11="","",IF(VLOOKUP($AB11,'[1]5-1. Fuel Density'!$B$6:$G$19,6,0)="Use of other GHGs",0,$AS11*VLOOKUP($AB11,'[1]5-4. Calorific&amp;Emission factor'!$P$9:$Y$74,6,FALSE)/1000000))</f>
        <v>4.2666018999999993E-2</v>
      </c>
      <c r="AW11" s="33">
        <f>IF($AB11="","",IF(VLOOKUP($AB11,'[1]5-1. Fuel Density'!$B$6:$G$19,6,0)="Use of other GHGs",0,$AS11*VLOOKUP($AB11,'[1]5-4. Calorific&amp;Emission factor'!$P$9:$Y$74,9,FALSE)/1000000))</f>
        <v>4.2666018999999999E-3</v>
      </c>
    </row>
    <row r="12" spans="2:49">
      <c r="B12" s="23">
        <v>7</v>
      </c>
      <c r="C12" s="23" t="s">
        <v>69</v>
      </c>
      <c r="D12" s="23" t="s">
        <v>70</v>
      </c>
      <c r="E12" s="24" t="s">
        <v>73</v>
      </c>
      <c r="F12" s="24" t="s">
        <v>42</v>
      </c>
      <c r="G12" s="24" t="s">
        <v>72</v>
      </c>
      <c r="H12" s="24"/>
      <c r="I12" s="24" t="s">
        <v>74</v>
      </c>
      <c r="J12" s="24" t="s">
        <v>75</v>
      </c>
      <c r="K12" s="26">
        <v>1.65</v>
      </c>
      <c r="L12" s="27">
        <v>0.1</v>
      </c>
      <c r="M12" s="27">
        <v>0.1</v>
      </c>
      <c r="N12" s="27">
        <v>0.15</v>
      </c>
      <c r="O12" s="27">
        <v>0.2</v>
      </c>
      <c r="P12" s="27">
        <v>0.1</v>
      </c>
      <c r="Q12" s="27">
        <v>0.1</v>
      </c>
      <c r="R12" s="27">
        <v>0.1</v>
      </c>
      <c r="S12" s="27">
        <v>0.1</v>
      </c>
      <c r="T12" s="27">
        <v>0.2</v>
      </c>
      <c r="U12" s="27">
        <v>0.05</v>
      </c>
      <c r="V12" s="27">
        <v>0.05</v>
      </c>
      <c r="W12" s="27">
        <v>0.4</v>
      </c>
      <c r="X12" s="28" t="s">
        <v>46</v>
      </c>
      <c r="Y12" s="23">
        <v>2022</v>
      </c>
      <c r="Z12" s="23" t="str">
        <f>VLOOKUP($E12,'[1]5-2. Emission Facility'!$B$7:$D$16,2,0)</f>
        <v>Generator</v>
      </c>
      <c r="AA12" s="23" t="str">
        <f>VLOOKUP($Z12,'[1]5-2. Emission Facility'!$C$7:$D$16,2,0)</f>
        <v>Stationary Combustion</v>
      </c>
      <c r="AB12" s="23" t="str">
        <f>IF($C12="","",IF(VLOOKUP($C12,'[1]1. General Facility Information'!$C$7:$E$13,3,0)="Korea",'Scope 1'!$I12,INDEX('[1]5-1. Fuel Density'!$B$6:$B$18,MATCH('Scope 1'!$I12,'[1]5-1. Fuel Density'!$C$6:$C$18,0))))</f>
        <v>Gas / Diesel oil</v>
      </c>
      <c r="AC12" s="23">
        <f t="shared" si="1"/>
        <v>0.1</v>
      </c>
      <c r="AD12" s="23">
        <f t="shared" si="0"/>
        <v>0.1</v>
      </c>
      <c r="AE12" s="23">
        <f t="shared" si="0"/>
        <v>0.15</v>
      </c>
      <c r="AF12" s="23">
        <f t="shared" si="0"/>
        <v>0.2</v>
      </c>
      <c r="AG12" s="23">
        <f t="shared" si="0"/>
        <v>0.1</v>
      </c>
      <c r="AH12" s="23">
        <f t="shared" si="0"/>
        <v>0.1</v>
      </c>
      <c r="AI12" s="23">
        <f t="shared" si="0"/>
        <v>0.1</v>
      </c>
      <c r="AJ12" s="23">
        <f t="shared" si="0"/>
        <v>0.1</v>
      </c>
      <c r="AK12" s="23">
        <f t="shared" si="0"/>
        <v>0.2</v>
      </c>
      <c r="AL12" s="23">
        <f t="shared" si="0"/>
        <v>0.05</v>
      </c>
      <c r="AM12" s="23">
        <f t="shared" si="0"/>
        <v>0.05</v>
      </c>
      <c r="AN12" s="23">
        <f t="shared" si="0"/>
        <v>0.4</v>
      </c>
      <c r="AO12" s="23" t="str">
        <f t="shared" si="2"/>
        <v/>
      </c>
      <c r="AP12" s="34">
        <f t="shared" si="3"/>
        <v>1.65</v>
      </c>
      <c r="AQ12" s="23" t="str">
        <f t="shared" si="4"/>
        <v>㎥</v>
      </c>
      <c r="AR12" s="35">
        <f>IF($C12="","",$AP12*IF($AQ12="㎥",VLOOKUP('Scope 1'!AQ12,'[1]5-3. Unit Conversion'!$B$5:$J$13,3,FALSE)*VLOOKUP('Scope 1'!AB12,'[1]5-1. Fuel Density'!$B$6:$D$18,3,FALSE)*1000,IF($AQ12="kg",VLOOKUP('Scope 1'!AQ12,'[1]5-3. Unit Conversion'!$B$16:$G$21,3,FALSE),0)))</f>
        <v>1392.6</v>
      </c>
      <c r="AS12" s="35">
        <f>IFERROR(IF($AB12="","",IF(VLOOKUP($AB12,'[1]5-1. Fuel Density'!$B$6:$G$19,6,0)="Use of other GHGs",0,IF($AB12="Industrial Wastes",$AR12*'[1]5-4. Calorific&amp;Emission factor'!$R$75,$AR12*VLOOKUP($AB12,'[1]5-4. Calorific&amp;Emission factor'!$P$9:$R$74,3,FALSE)))),0)</f>
        <v>59881.799999999996</v>
      </c>
      <c r="AT12" s="32">
        <f>IF($AB12="","",IF(OR($AB12="Hydrofluorocarbons(HFCs)",$AB12="ETC"),$AR12*VLOOKUP($J12,'[1]5-4. Calorific&amp;Emission factor'!$B$10:$D$14,3,0)/1000,IF(VLOOKUP($AB12,'[1]5-1. Fuel Density'!$B$6:$G$19,6,0)="Use of other GHGs",$AU12/1000,(($AU12*'[1]5-4. Calorific&amp;Emission factor'!$D$7)+($AV12*'[1]5-4. Calorific&amp;Emission factor'!$D$8)+($AW12*'[1]5-4. Calorific&amp;Emission factor'!$D$9))/1000)))</f>
        <v>4.4519004446400006</v>
      </c>
      <c r="AU12" s="33">
        <f>IF($AB12="","",IF(VLOOKUP($AB12,'[1]5-1. Fuel Density'!$B$6:$G$19,6,0)="Use of other GHGs",$AR12*VLOOKUP($AB12,'[1]5-4. Calorific&amp;Emission factor'!$O$9:$Y$74,5,FALSE)/1000000,$AS12*VLOOKUP($AB12,'[1]5-4. Calorific&amp;Emission factor'!$P$9:$Y$74,4,FALSE)/1000000))</f>
        <v>4437.2413800000004</v>
      </c>
      <c r="AV12" s="33">
        <f>IF($AB12="","",IF(VLOOKUP($AB12,'[1]5-1. Fuel Density'!$B$6:$G$19,6,0)="Use of other GHGs",0,$AS12*VLOOKUP($AB12,'[1]5-4. Calorific&amp;Emission factor'!$P$9:$Y$74,6,FALSE)/1000000))</f>
        <v>0.17964539999999998</v>
      </c>
      <c r="AW12" s="33">
        <f>IF($AB12="","",IF(VLOOKUP($AB12,'[1]5-1. Fuel Density'!$B$6:$G$19,6,0)="Use of other GHGs",0,$AS12*VLOOKUP($AB12,'[1]5-4. Calorific&amp;Emission factor'!$P$9:$Y$74,9,FALSE)/1000000))</f>
        <v>3.5929079999999995E-2</v>
      </c>
    </row>
    <row r="13" spans="2:49">
      <c r="B13" s="23">
        <v>8</v>
      </c>
      <c r="C13" s="23" t="s">
        <v>69</v>
      </c>
      <c r="D13" s="23" t="s">
        <v>70</v>
      </c>
      <c r="E13" s="24" t="s">
        <v>54</v>
      </c>
      <c r="F13" s="24" t="s">
        <v>42</v>
      </c>
      <c r="G13" s="24" t="s">
        <v>72</v>
      </c>
      <c r="H13" s="24"/>
      <c r="I13" s="24" t="s">
        <v>57</v>
      </c>
      <c r="J13" s="24" t="s">
        <v>76</v>
      </c>
      <c r="K13" s="26">
        <v>364650</v>
      </c>
      <c r="L13" s="27">
        <v>40450</v>
      </c>
      <c r="M13" s="27">
        <v>36650</v>
      </c>
      <c r="N13" s="27">
        <v>29700</v>
      </c>
      <c r="O13" s="27">
        <v>28350</v>
      </c>
      <c r="P13" s="27">
        <v>21600</v>
      </c>
      <c r="Q13" s="27">
        <v>29700</v>
      </c>
      <c r="R13" s="27">
        <v>28350</v>
      </c>
      <c r="S13" s="27">
        <v>31050</v>
      </c>
      <c r="T13" s="27">
        <v>31050</v>
      </c>
      <c r="U13" s="27">
        <v>28350</v>
      </c>
      <c r="V13" s="27">
        <v>29700</v>
      </c>
      <c r="W13" s="27">
        <v>29700</v>
      </c>
      <c r="X13" s="28" t="s">
        <v>59</v>
      </c>
      <c r="Y13" s="23">
        <v>2022</v>
      </c>
      <c r="Z13" s="23" t="str">
        <f>VLOOKUP($E13,'[1]5-2. Emission Facility'!$B$7:$D$16,2,0)</f>
        <v>Boiler</v>
      </c>
      <c r="AA13" s="23" t="str">
        <f>VLOOKUP($Z13,'[1]5-2. Emission Facility'!$C$7:$D$16,2,0)</f>
        <v>Stationary Combustion</v>
      </c>
      <c r="AB13" s="23" t="str">
        <f>IF($C13="","",IF(VLOOKUP($C13,'[1]1. General Facility Information'!$C$7:$E$13,3,0)="Korea",'Scope 1'!$I13,INDEX('[1]5-1. Fuel Density'!$B$6:$B$18,MATCH('Scope 1'!$I13,'[1]5-1. Fuel Density'!$C$6:$C$18,0))))</f>
        <v>Industrial Wastes</v>
      </c>
      <c r="AC13" s="23">
        <f t="shared" si="1"/>
        <v>40450</v>
      </c>
      <c r="AD13" s="23">
        <f t="shared" si="0"/>
        <v>36650</v>
      </c>
      <c r="AE13" s="23">
        <f t="shared" si="0"/>
        <v>29700</v>
      </c>
      <c r="AF13" s="23">
        <f t="shared" si="0"/>
        <v>28350</v>
      </c>
      <c r="AG13" s="23">
        <f t="shared" si="0"/>
        <v>21600</v>
      </c>
      <c r="AH13" s="23">
        <f t="shared" si="0"/>
        <v>29700</v>
      </c>
      <c r="AI13" s="23">
        <f t="shared" si="0"/>
        <v>28350</v>
      </c>
      <c r="AJ13" s="23">
        <f t="shared" si="0"/>
        <v>31050</v>
      </c>
      <c r="AK13" s="23">
        <f t="shared" si="0"/>
        <v>31050</v>
      </c>
      <c r="AL13" s="23">
        <f t="shared" si="0"/>
        <v>28350</v>
      </c>
      <c r="AM13" s="23">
        <f t="shared" si="0"/>
        <v>29700</v>
      </c>
      <c r="AN13" s="23">
        <f t="shared" si="0"/>
        <v>29700</v>
      </c>
      <c r="AO13" s="23" t="str">
        <f t="shared" si="2"/>
        <v/>
      </c>
      <c r="AP13" s="34">
        <f t="shared" si="3"/>
        <v>364650</v>
      </c>
      <c r="AQ13" s="23" t="str">
        <f t="shared" si="4"/>
        <v>kg</v>
      </c>
      <c r="AR13" s="35">
        <f>IF($C13="","",$AP13*IF($AQ13="㎥",VLOOKUP('Scope 1'!AQ13,'[1]5-3. Unit Conversion'!$B$5:$J$13,3,FALSE)*VLOOKUP('Scope 1'!AB13,'[1]5-1. Fuel Density'!$B$6:$D$18,3,FALSE)*1000,IF($AQ13="kg",VLOOKUP('Scope 1'!AQ13,'[1]5-3. Unit Conversion'!$B$16:$G$21,3,FALSE),0)))</f>
        <v>364650</v>
      </c>
      <c r="AS13" s="35">
        <f>IFERROR(IF($AB13="","",IF(VLOOKUP($AB13,'[1]5-1. Fuel Density'!$B$6:$G$19,6,0)="Use of other GHGs",0,IF($AB13="Industrial Wastes",$AR13*'[1]5-4. Calorific&amp;Emission factor'!$R$75,$AR13*VLOOKUP($AB13,'[1]5-4. Calorific&amp;Emission factor'!$P$9:$R$74,3,FALSE)))),0)</f>
        <v>7933622.7503015678</v>
      </c>
      <c r="AT13" s="32">
        <f>IF($AB13="","",IF(OR($AB13="Hydrofluorocarbons(HFCs)",$AB13="ETC"),$AR13*VLOOKUP($J13,'[1]5-4. Calorific&amp;Emission factor'!$B$10:$D$14,3,0)/1000,IF(VLOOKUP($AB13,'[1]5-1. Fuel Density'!$B$6:$G$19,6,0)="Use of other GHGs",$AU13/1000,(($AU13*'[1]5-4. Calorific&amp;Emission factor'!$D$7)+($AV13*'[1]5-4. Calorific&amp;Emission factor'!$D$8)+($AW13*'[1]5-4. Calorific&amp;Emission factor'!$D$9))/1000)))</f>
        <v>1149.597803764198</v>
      </c>
      <c r="AU13" s="33">
        <f>IF($AB13="","",IF(VLOOKUP($AB13,'[1]5-1. Fuel Density'!$B$6:$G$19,6,0)="Use of other GHGs",$AR13*VLOOKUP($AB13,'[1]5-4. Calorific&amp;Emission factor'!$O$9:$Y$74,5,FALSE)/1000000,$AS13*VLOOKUP($AB13,'[1]5-4. Calorific&amp;Emission factor'!$P$9:$Y$74,4,FALSE)/1000000))</f>
        <v>1134508.0532931243</v>
      </c>
      <c r="AV13" s="33">
        <f>IF($AB13="","",IF(VLOOKUP($AB13,'[1]5-1. Fuel Density'!$B$6:$G$19,6,0)="Use of other GHGs",0,$AS13*VLOOKUP($AB13,'[1]5-4. Calorific&amp;Emission factor'!$P$9:$Y$74,6,FALSE)/1000000))</f>
        <v>238.00868250904702</v>
      </c>
      <c r="AW13" s="33">
        <f>IF($AB13="","",IF(VLOOKUP($AB13,'[1]5-1. Fuel Density'!$B$6:$G$19,6,0)="Use of other GHGs",0,$AS13*VLOOKUP($AB13,'[1]5-4. Calorific&amp;Emission factor'!$P$9:$Y$74,9,FALSE)/1000000))</f>
        <v>31.734491001206273</v>
      </c>
    </row>
    <row r="14" spans="2:49">
      <c r="B14" s="23">
        <v>9</v>
      </c>
      <c r="C14" s="23" t="s">
        <v>69</v>
      </c>
      <c r="D14" s="23" t="s">
        <v>70</v>
      </c>
      <c r="E14" s="24" t="s">
        <v>77</v>
      </c>
      <c r="F14" s="24" t="s">
        <v>78</v>
      </c>
      <c r="G14" s="24" t="s">
        <v>79</v>
      </c>
      <c r="H14" s="24"/>
      <c r="I14" s="24" t="s">
        <v>80</v>
      </c>
      <c r="J14" s="24" t="s">
        <v>81</v>
      </c>
      <c r="K14" s="26">
        <v>33.900000000000006</v>
      </c>
      <c r="L14" s="27"/>
      <c r="M14" s="27"/>
      <c r="N14" s="27"/>
      <c r="O14" s="27"/>
      <c r="P14" s="27">
        <v>11.3</v>
      </c>
      <c r="Q14" s="27"/>
      <c r="R14" s="27"/>
      <c r="S14" s="27"/>
      <c r="T14" s="27">
        <v>11.3</v>
      </c>
      <c r="U14" s="27"/>
      <c r="V14" s="27">
        <v>11.3</v>
      </c>
      <c r="W14" s="27"/>
      <c r="X14" s="28" t="s">
        <v>59</v>
      </c>
      <c r="Y14" s="23">
        <v>2022</v>
      </c>
      <c r="Z14" s="23" t="str">
        <f>VLOOKUP($E14,'[1]5-2. Emission Facility'!$B$7:$D$16,2,0)</f>
        <v>AC</v>
      </c>
      <c r="AA14" s="23" t="str">
        <f>VLOOKUP($Z14,'[1]5-2. Emission Facility'!$C$7:$D$16,2,0)</f>
        <v>Process Emissions</v>
      </c>
      <c r="AB14" s="23" t="str">
        <f>IF($C14="","",IF(VLOOKUP($C14,'[1]1. General Facility Information'!$C$7:$E$13,3,0)="Korea",'Scope 1'!$I14,INDEX('[1]5-1. Fuel Density'!$B$6:$B$18,MATCH('Scope 1'!$I14,'[1]5-1. Fuel Density'!$C$6:$C$18,0))))</f>
        <v>Hydrofluorocarbons(HFCs)</v>
      </c>
      <c r="AC14" s="23">
        <f t="shared" si="1"/>
        <v>0</v>
      </c>
      <c r="AD14" s="23">
        <f t="shared" si="0"/>
        <v>0</v>
      </c>
      <c r="AE14" s="23">
        <f t="shared" si="0"/>
        <v>0</v>
      </c>
      <c r="AF14" s="23">
        <f t="shared" si="0"/>
        <v>0</v>
      </c>
      <c r="AG14" s="23">
        <f t="shared" si="0"/>
        <v>11.3</v>
      </c>
      <c r="AH14" s="23">
        <f t="shared" si="0"/>
        <v>0</v>
      </c>
      <c r="AI14" s="23">
        <f t="shared" si="0"/>
        <v>0</v>
      </c>
      <c r="AJ14" s="23">
        <f t="shared" si="0"/>
        <v>0</v>
      </c>
      <c r="AK14" s="23">
        <f t="shared" si="0"/>
        <v>11.3</v>
      </c>
      <c r="AL14" s="23">
        <f t="shared" si="0"/>
        <v>0</v>
      </c>
      <c r="AM14" s="23">
        <f t="shared" si="0"/>
        <v>11.3</v>
      </c>
      <c r="AN14" s="23">
        <f t="shared" si="0"/>
        <v>0</v>
      </c>
      <c r="AO14" s="23" t="str">
        <f t="shared" si="2"/>
        <v/>
      </c>
      <c r="AP14" s="34">
        <f t="shared" si="3"/>
        <v>33.900000000000006</v>
      </c>
      <c r="AQ14" s="23" t="str">
        <f t="shared" si="4"/>
        <v>kg</v>
      </c>
      <c r="AR14" s="35">
        <f>IF($C14="","",$AP14*IF($AQ14="㎥",VLOOKUP('Scope 1'!AQ14,'[1]5-3. Unit Conversion'!$B$5:$J$13,3,FALSE)*VLOOKUP('Scope 1'!AB14,'[1]5-1. Fuel Density'!$B$6:$D$18,3,FALSE)*1000,IF($AQ14="kg",VLOOKUP('Scope 1'!AQ14,'[1]5-3. Unit Conversion'!$B$16:$G$21,3,FALSE),0)))</f>
        <v>33.900000000000006</v>
      </c>
      <c r="AS14" s="35">
        <f>IFERROR(IF($AB14="","",IF(VLOOKUP($AB14,'[1]5-1. Fuel Density'!$B$6:$G$19,6,0)="Use of other GHGs",0,IF($AB14="Industrial Wastes",$AR14*'[1]5-4. Calorific&amp;Emission factor'!$R$75,$AR14*VLOOKUP($AB14,'[1]5-4. Calorific&amp;Emission factor'!$P$9:$R$74,3,FALSE)))),0)</f>
        <v>0</v>
      </c>
      <c r="AT14" s="32">
        <f>IF($AB14="","",IF(OR($AB14="Hydrofluorocarbons(HFCs)",$AB14="ETC"),$AR14*VLOOKUP($J14,'[1]5-4. Calorific&amp;Emission factor'!$B$10:$D$14,3,0)/1000,IF(VLOOKUP($AB14,'[1]5-1. Fuel Density'!$B$6:$G$19,6,0)="Use of other GHGs",$AU14/1000,(($AU14*'[1]5-4. Calorific&amp;Emission factor'!$D$7)+($AV14*'[1]5-4. Calorific&amp;Emission factor'!$D$8)+($AW14*'[1]5-4. Calorific&amp;Emission factor'!$D$9))/1000)))</f>
        <v>76.461450000000013</v>
      </c>
      <c r="AU14" s="33">
        <f>IF($AB14="","",IF(VLOOKUP($AB14,'[1]5-1. Fuel Density'!$B$6:$G$19,6,0)="Use of other GHGs",$AR14*VLOOKUP($AB14,'[1]5-4. Calorific&amp;Emission factor'!$O$9:$Y$74,5,FALSE)/1000000,$AS14*VLOOKUP($AB14,'[1]5-4. Calorific&amp;Emission factor'!$P$9:$Y$74,4,FALSE)/1000000))</f>
        <v>0</v>
      </c>
      <c r="AV14" s="33">
        <f>IF($AB14="","",IF(VLOOKUP($AB14,'[1]5-1. Fuel Density'!$B$6:$G$19,6,0)="Use of other GHGs",0,$AS14*VLOOKUP($AB14,'[1]5-4. Calorific&amp;Emission factor'!$P$9:$Y$74,6,FALSE)/1000000))</f>
        <v>0</v>
      </c>
      <c r="AW14" s="33">
        <f>IF($AB14="","",IF(VLOOKUP($AB14,'[1]5-1. Fuel Density'!$B$6:$G$19,6,0)="Use of other GHGs",0,$AS14*VLOOKUP($AB14,'[1]5-4. Calorific&amp;Emission factor'!$P$9:$Y$74,9,FALSE)/1000000))</f>
        <v>0</v>
      </c>
    </row>
    <row r="15" spans="2:49">
      <c r="B15" s="23">
        <v>10</v>
      </c>
      <c r="C15" s="23" t="s">
        <v>69</v>
      </c>
      <c r="D15" s="23" t="s">
        <v>70</v>
      </c>
      <c r="E15" s="24" t="s">
        <v>77</v>
      </c>
      <c r="F15" s="24" t="s">
        <v>78</v>
      </c>
      <c r="G15" s="24" t="s">
        <v>79</v>
      </c>
      <c r="H15" s="24"/>
      <c r="I15" s="24" t="s">
        <v>82</v>
      </c>
      <c r="J15" s="24" t="s">
        <v>83</v>
      </c>
      <c r="K15" s="26">
        <v>40.799999999999997</v>
      </c>
      <c r="L15" s="27"/>
      <c r="M15" s="27"/>
      <c r="N15" s="27"/>
      <c r="O15" s="27"/>
      <c r="P15" s="27"/>
      <c r="Q15" s="27"/>
      <c r="R15" s="27"/>
      <c r="S15" s="27">
        <v>13.6</v>
      </c>
      <c r="T15" s="27"/>
      <c r="U15" s="27"/>
      <c r="V15" s="27">
        <v>27.2</v>
      </c>
      <c r="W15" s="27"/>
      <c r="X15" s="28" t="s">
        <v>59</v>
      </c>
      <c r="Y15" s="23">
        <v>2022</v>
      </c>
      <c r="Z15" s="23" t="str">
        <f>VLOOKUP($E15,'[1]5-2. Emission Facility'!$B$7:$D$16,2,0)</f>
        <v>AC</v>
      </c>
      <c r="AA15" s="23" t="str">
        <f>VLOOKUP($Z15,'[1]5-2. Emission Facility'!$C$7:$D$16,2,0)</f>
        <v>Process Emissions</v>
      </c>
      <c r="AB15" s="23" t="str">
        <f>IF($C15="","",IF(VLOOKUP($C15,'[1]1. General Facility Information'!$C$7:$E$13,3,0)="Korea",'Scope 1'!$I15,INDEX('[1]5-1. Fuel Density'!$B$6:$B$18,MATCH('Scope 1'!$I15,'[1]5-1. Fuel Density'!$C$6:$C$18,0))))</f>
        <v>Hydrofluorocarbons(HFCs)</v>
      </c>
      <c r="AC15" s="23">
        <f t="shared" si="1"/>
        <v>0</v>
      </c>
      <c r="AD15" s="23">
        <f t="shared" si="0"/>
        <v>0</v>
      </c>
      <c r="AE15" s="23">
        <f t="shared" si="0"/>
        <v>0</v>
      </c>
      <c r="AF15" s="23">
        <f t="shared" si="0"/>
        <v>0</v>
      </c>
      <c r="AG15" s="23">
        <f t="shared" si="0"/>
        <v>0</v>
      </c>
      <c r="AH15" s="23">
        <f t="shared" si="0"/>
        <v>0</v>
      </c>
      <c r="AI15" s="23">
        <f t="shared" si="0"/>
        <v>0</v>
      </c>
      <c r="AJ15" s="23">
        <f t="shared" si="0"/>
        <v>13.6</v>
      </c>
      <c r="AK15" s="23">
        <f t="shared" si="0"/>
        <v>0</v>
      </c>
      <c r="AL15" s="23">
        <f t="shared" si="0"/>
        <v>0</v>
      </c>
      <c r="AM15" s="23">
        <f t="shared" si="0"/>
        <v>27.2</v>
      </c>
      <c r="AN15" s="23">
        <f t="shared" si="0"/>
        <v>0</v>
      </c>
      <c r="AO15" s="23" t="str">
        <f t="shared" si="2"/>
        <v/>
      </c>
      <c r="AP15" s="34">
        <f t="shared" si="3"/>
        <v>40.799999999999997</v>
      </c>
      <c r="AQ15" s="23" t="str">
        <f t="shared" si="4"/>
        <v>kg</v>
      </c>
      <c r="AR15" s="35">
        <f>IF($C15="","",$AP15*IF($AQ15="㎥",VLOOKUP('Scope 1'!AQ15,'[1]5-3. Unit Conversion'!$B$5:$J$13,3,FALSE)*VLOOKUP('Scope 1'!AB15,'[1]5-1. Fuel Density'!$B$6:$D$18,3,FALSE)*1000,IF($AQ15="kg",VLOOKUP('Scope 1'!AQ15,'[1]5-3. Unit Conversion'!$B$16:$G$21,3,FALSE),0)))</f>
        <v>40.799999999999997</v>
      </c>
      <c r="AS15" s="35">
        <f>IFERROR(IF($AB15="","",IF(VLOOKUP($AB15,'[1]5-1. Fuel Density'!$B$6:$G$19,6,0)="Use of other GHGs",0,IF($AB15="Industrial Wastes",$AR15*'[1]5-4. Calorific&amp;Emission factor'!$R$75,$AR15*VLOOKUP($AB15,'[1]5-4. Calorific&amp;Emission factor'!$P$9:$R$74,3,FALSE)))),0)</f>
        <v>0</v>
      </c>
      <c r="AT15" s="32">
        <f>IF($AB15="","",IF(OR($AB15="Hydrofluorocarbons(HFCs)",$AB15="ETC"),$AR15*VLOOKUP($J15,'[1]5-4. Calorific&amp;Emission factor'!$B$10:$D$14,3,0)/1000,IF(VLOOKUP($AB15,'[1]5-1. Fuel Density'!$B$6:$G$19,6,0)="Use of other GHGs",$AU15/1000,(($AU15*'[1]5-4. Calorific&amp;Emission factor'!$D$7)+($AV15*'[1]5-4. Calorific&amp;Emission factor'!$D$8)+($AW15*'[1]5-4. Calorific&amp;Emission factor'!$D$9))/1000)))</f>
        <v>79.968000000000004</v>
      </c>
      <c r="AU15" s="33">
        <f>IF($AB15="","",IF(VLOOKUP($AB15,'[1]5-1. Fuel Density'!$B$6:$G$19,6,0)="Use of other GHGs",$AR15*VLOOKUP($AB15,'[1]5-4. Calorific&amp;Emission factor'!$O$9:$Y$74,5,FALSE)/1000000,$AS15*VLOOKUP($AB15,'[1]5-4. Calorific&amp;Emission factor'!$P$9:$Y$74,4,FALSE)/1000000))</f>
        <v>0</v>
      </c>
      <c r="AV15" s="33">
        <f>IF($AB15="","",IF(VLOOKUP($AB15,'[1]5-1. Fuel Density'!$B$6:$G$19,6,0)="Use of other GHGs",0,$AS15*VLOOKUP($AB15,'[1]5-4. Calorific&amp;Emission factor'!$P$9:$Y$74,6,FALSE)/1000000))</f>
        <v>0</v>
      </c>
      <c r="AW15" s="33">
        <f>IF($AB15="","",IF(VLOOKUP($AB15,'[1]5-1. Fuel Density'!$B$6:$G$19,6,0)="Use of other GHGs",0,$AS15*VLOOKUP($AB15,'[1]5-4. Calorific&amp;Emission factor'!$P$9:$Y$74,9,FALSE)/1000000))</f>
        <v>0</v>
      </c>
    </row>
    <row r="16" spans="2:49">
      <c r="B16" s="23">
        <v>11</v>
      </c>
      <c r="C16" s="23" t="s">
        <v>69</v>
      </c>
      <c r="D16" s="23" t="s">
        <v>70</v>
      </c>
      <c r="E16" s="24" t="s">
        <v>84</v>
      </c>
      <c r="F16" s="24" t="s">
        <v>42</v>
      </c>
      <c r="G16" s="24" t="s">
        <v>43</v>
      </c>
      <c r="H16" s="24"/>
      <c r="I16" s="24" t="s">
        <v>85</v>
      </c>
      <c r="J16" s="24" t="s">
        <v>86</v>
      </c>
      <c r="K16" s="26">
        <v>49.929248999999999</v>
      </c>
      <c r="L16" s="27">
        <v>5.4650599999999994</v>
      </c>
      <c r="M16" s="27">
        <v>4.499161</v>
      </c>
      <c r="N16" s="27">
        <v>5.1347999999999994</v>
      </c>
      <c r="O16" s="27">
        <v>5.5874799999999993</v>
      </c>
      <c r="P16" s="27">
        <v>5.0318999999999994</v>
      </c>
      <c r="Q16" s="27">
        <v>5.3197999999999999</v>
      </c>
      <c r="R16" s="27">
        <v>5.9545879999999984</v>
      </c>
      <c r="S16" s="27">
        <v>5.7743599999999997</v>
      </c>
      <c r="T16" s="27">
        <v>1.9721</v>
      </c>
      <c r="U16" s="27">
        <v>1.7150000000000001</v>
      </c>
      <c r="V16" s="27">
        <v>1.657</v>
      </c>
      <c r="W16" s="27">
        <v>1.8180000000000001</v>
      </c>
      <c r="X16" s="28" t="s">
        <v>46</v>
      </c>
      <c r="Y16" s="23">
        <v>2022</v>
      </c>
      <c r="Z16" s="23" t="str">
        <f>VLOOKUP($E16,'[1]5-2. Emission Facility'!$B$7:$D$16,2,0)</f>
        <v>Vehicle</v>
      </c>
      <c r="AA16" s="23" t="str">
        <f>VLOOKUP($Z16,'[1]5-2. Emission Facility'!$C$7:$D$16,2,0)</f>
        <v>Mobile combustion</v>
      </c>
      <c r="AB16" s="23" t="str">
        <f>IF($C16="","",IF(VLOOKUP($C16,'[1]1. General Facility Information'!$C$7:$E$13,3,0)="Korea",'Scope 1'!$I16,INDEX('[1]5-1. Fuel Density'!$B$6:$B$18,MATCH('Scope 1'!$I16,'[1]5-1. Fuel Density'!$C$6:$C$18,0))))</f>
        <v>Automotive gasoline (petrol)</v>
      </c>
      <c r="AC16" s="23">
        <f t="shared" si="1"/>
        <v>5.4650599999999994</v>
      </c>
      <c r="AD16" s="23">
        <f t="shared" si="0"/>
        <v>4.499161</v>
      </c>
      <c r="AE16" s="23">
        <f t="shared" si="0"/>
        <v>5.1347999999999994</v>
      </c>
      <c r="AF16" s="23">
        <f t="shared" si="0"/>
        <v>5.5874799999999993</v>
      </c>
      <c r="AG16" s="23">
        <f t="shared" si="0"/>
        <v>5.0318999999999994</v>
      </c>
      <c r="AH16" s="23">
        <f t="shared" si="0"/>
        <v>5.3197999999999999</v>
      </c>
      <c r="AI16" s="23">
        <f t="shared" si="0"/>
        <v>5.9545879999999984</v>
      </c>
      <c r="AJ16" s="23">
        <f t="shared" si="0"/>
        <v>5.7743599999999997</v>
      </c>
      <c r="AK16" s="23">
        <f t="shared" si="0"/>
        <v>1.9721</v>
      </c>
      <c r="AL16" s="23">
        <f t="shared" si="0"/>
        <v>1.7150000000000001</v>
      </c>
      <c r="AM16" s="23">
        <f t="shared" si="0"/>
        <v>1.657</v>
      </c>
      <c r="AN16" s="23">
        <f t="shared" si="0"/>
        <v>1.8180000000000001</v>
      </c>
      <c r="AO16" s="23" t="str">
        <f t="shared" si="2"/>
        <v/>
      </c>
      <c r="AP16" s="34">
        <f t="shared" si="3"/>
        <v>49.929248999999999</v>
      </c>
      <c r="AQ16" s="23" t="str">
        <f t="shared" si="4"/>
        <v>㎥</v>
      </c>
      <c r="AR16" s="35">
        <f>IF($C16="","",$AP16*IF($AQ16="㎥",VLOOKUP('Scope 1'!AQ16,'[1]5-3. Unit Conversion'!$B$5:$J$13,3,FALSE)*VLOOKUP('Scope 1'!AB16,'[1]5-1. Fuel Density'!$B$6:$D$18,3,FALSE)*1000,IF($AQ16="kg",VLOOKUP('Scope 1'!AQ16,'[1]5-3. Unit Conversion'!$B$16:$G$21,3,FALSE),0)))</f>
        <v>36997.573509000002</v>
      </c>
      <c r="AS16" s="35">
        <f>IFERROR(IF($AB16="","",IF(VLOOKUP($AB16,'[1]5-1. Fuel Density'!$B$6:$G$19,6,0)="Use of other GHGs",0,IF($AB16="Industrial Wastes",$AR16*'[1]5-4. Calorific&amp;Emission factor'!$R$75,$AR16*VLOOKUP($AB16,'[1]5-4. Calorific&amp;Emission factor'!$P$9:$R$74,3,FALSE)))),0)</f>
        <v>1638992.5064486999</v>
      </c>
      <c r="AT16" s="32">
        <f>IF($AB16="","",IF(OR($AB16="Hydrofluorocarbons(HFCs)",$AB16="ETC"),$AR16*VLOOKUP($J16,'[1]5-4. Calorific&amp;Emission factor'!$B$10:$D$14,3,0)/1000,IF(VLOOKUP($AB16,'[1]5-1. Fuel Density'!$B$6:$G$19,6,0)="Use of other GHGs",$AU16/1000,(($AU16*'[1]5-4. Calorific&amp;Emission factor'!$D$7)+($AV16*'[1]5-4. Calorific&amp;Emission factor'!$D$8)+($AW16*'[1]5-4. Calorific&amp;Emission factor'!$D$9))/1000)))</f>
        <v>113.98340606247355</v>
      </c>
      <c r="AU16" s="33">
        <f>IF($AB16="","",IF(VLOOKUP($AB16,'[1]5-1. Fuel Density'!$B$6:$G$19,6,0)="Use of other GHGs",$AR16*VLOOKUP($AB16,'[1]5-4. Calorific&amp;Emission factor'!$O$9:$Y$74,5,FALSE)/1000000,$AS16*VLOOKUP($AB16,'[1]5-4. Calorific&amp;Emission factor'!$P$9:$Y$74,4,FALSE)/1000000))</f>
        <v>113582.18069689489</v>
      </c>
      <c r="AV16" s="33">
        <f>IF($AB16="","",IF(VLOOKUP($AB16,'[1]5-1. Fuel Density'!$B$6:$G$19,6,0)="Use of other GHGs",0,$AS16*VLOOKUP($AB16,'[1]5-4. Calorific&amp;Emission factor'!$P$9:$Y$74,6,FALSE)/1000000))</f>
        <v>4.9169775193460996</v>
      </c>
      <c r="AW16" s="33">
        <f>IF($AB16="","",IF(VLOOKUP($AB16,'[1]5-1. Fuel Density'!$B$6:$G$19,6,0)="Use of other GHGs",0,$AS16*VLOOKUP($AB16,'[1]5-4. Calorific&amp;Emission factor'!$P$9:$Y$74,9,FALSE)/1000000))</f>
        <v>0.98339550386921992</v>
      </c>
    </row>
    <row r="17" spans="2:49">
      <c r="B17" s="23">
        <v>12</v>
      </c>
      <c r="C17" s="23" t="s">
        <v>69</v>
      </c>
      <c r="D17" s="23" t="s">
        <v>70</v>
      </c>
      <c r="E17" s="24" t="s">
        <v>84</v>
      </c>
      <c r="F17" s="24" t="s">
        <v>42</v>
      </c>
      <c r="G17" s="24" t="s">
        <v>43</v>
      </c>
      <c r="H17" s="24"/>
      <c r="I17" s="24" t="s">
        <v>85</v>
      </c>
      <c r="J17" s="24" t="s">
        <v>87</v>
      </c>
      <c r="K17" s="26">
        <v>22.316470000000002</v>
      </c>
      <c r="L17" s="27">
        <v>3.6999999999999998E-2</v>
      </c>
      <c r="M17" s="27"/>
      <c r="N17" s="27"/>
      <c r="O17" s="27"/>
      <c r="P17" s="27"/>
      <c r="Q17" s="27"/>
      <c r="R17" s="27">
        <v>0.54400000000000004</v>
      </c>
      <c r="S17" s="27">
        <v>0.72299999999999998</v>
      </c>
      <c r="T17" s="27">
        <v>4.6702399999999997</v>
      </c>
      <c r="U17" s="27">
        <v>6.339900000000001</v>
      </c>
      <c r="V17" s="27">
        <v>4.9156199999999997</v>
      </c>
      <c r="W17" s="27">
        <v>5.0867099999999992</v>
      </c>
      <c r="X17" s="28" t="s">
        <v>46</v>
      </c>
      <c r="Y17" s="23">
        <v>2022</v>
      </c>
      <c r="Z17" s="23" t="str">
        <f>VLOOKUP($E17,'[1]5-2. Emission Facility'!$B$7:$D$16,2,0)</f>
        <v>Vehicle</v>
      </c>
      <c r="AA17" s="23" t="str">
        <f>VLOOKUP($Z17,'[1]5-2. Emission Facility'!$C$7:$D$16,2,0)</f>
        <v>Mobile combustion</v>
      </c>
      <c r="AB17" s="23" t="str">
        <f>IF($C17="","",IF(VLOOKUP($C17,'[1]1. General Facility Information'!$C$7:$E$13,3,0)="Korea",'Scope 1'!$I17,INDEX('[1]5-1. Fuel Density'!$B$6:$B$18,MATCH('Scope 1'!$I17,'[1]5-1. Fuel Density'!$C$6:$C$18,0))))</f>
        <v>Automotive gasoline (petrol)</v>
      </c>
      <c r="AC17" s="23">
        <f t="shared" si="1"/>
        <v>3.6999999999999998E-2</v>
      </c>
      <c r="AD17" s="23">
        <f t="shared" si="0"/>
        <v>0</v>
      </c>
      <c r="AE17" s="23">
        <f t="shared" si="0"/>
        <v>0</v>
      </c>
      <c r="AF17" s="23">
        <f t="shared" si="0"/>
        <v>0</v>
      </c>
      <c r="AG17" s="23">
        <f t="shared" si="0"/>
        <v>0</v>
      </c>
      <c r="AH17" s="23">
        <f t="shared" si="0"/>
        <v>0</v>
      </c>
      <c r="AI17" s="23">
        <f t="shared" si="0"/>
        <v>0.54400000000000004</v>
      </c>
      <c r="AJ17" s="23">
        <f t="shared" si="0"/>
        <v>0.72299999999999998</v>
      </c>
      <c r="AK17" s="23">
        <f t="shared" si="0"/>
        <v>4.6702399999999997</v>
      </c>
      <c r="AL17" s="23">
        <f t="shared" si="0"/>
        <v>6.339900000000001</v>
      </c>
      <c r="AM17" s="23">
        <f t="shared" si="0"/>
        <v>4.9156199999999997</v>
      </c>
      <c r="AN17" s="23">
        <f t="shared" si="0"/>
        <v>5.0867099999999992</v>
      </c>
      <c r="AO17" s="23" t="str">
        <f t="shared" si="2"/>
        <v/>
      </c>
      <c r="AP17" s="34">
        <f t="shared" si="3"/>
        <v>22.316470000000002</v>
      </c>
      <c r="AQ17" s="23" t="str">
        <f t="shared" si="4"/>
        <v>㎥</v>
      </c>
      <c r="AR17" s="35">
        <f>IF($C17="","",$AP17*IF($AQ17="㎥",VLOOKUP('Scope 1'!AQ17,'[1]5-3. Unit Conversion'!$B$5:$J$13,3,FALSE)*VLOOKUP('Scope 1'!AB17,'[1]5-1. Fuel Density'!$B$6:$D$18,3,FALSE)*1000,IF($AQ17="kg",VLOOKUP('Scope 1'!AQ17,'[1]5-3. Unit Conversion'!$B$16:$G$21,3,FALSE),0)))</f>
        <v>16536.504270000001</v>
      </c>
      <c r="AS17" s="35">
        <f>IFERROR(IF($AB17="","",IF(VLOOKUP($AB17,'[1]5-1. Fuel Density'!$B$6:$G$19,6,0)="Use of other GHGs",0,IF($AB17="Industrial Wastes",$AR17*'[1]5-4. Calorific&amp;Emission factor'!$R$75,$AR17*VLOOKUP($AB17,'[1]5-4. Calorific&amp;Emission factor'!$P$9:$R$74,3,FALSE)))),0)</f>
        <v>732567.13916100003</v>
      </c>
      <c r="AT17" s="32">
        <f>IF($AB17="","",IF(OR($AB17="Hydrofluorocarbons(HFCs)",$AB17="ETC"),$AR17*VLOOKUP($J17,'[1]5-4. Calorific&amp;Emission factor'!$B$10:$D$14,3,0)/1000,IF(VLOOKUP($AB17,'[1]5-1. Fuel Density'!$B$6:$G$19,6,0)="Use of other GHGs",$AU17/1000,(($AU17*'[1]5-4. Calorific&amp;Emission factor'!$D$7)+($AV17*'[1]5-4. Calorific&amp;Emission factor'!$D$8)+($AW17*'[1]5-4. Calorific&amp;Emission factor'!$D$9))/1000)))</f>
        <v>50.946235179523917</v>
      </c>
      <c r="AU17" s="33">
        <f>IF($AB17="","",IF(VLOOKUP($AB17,'[1]5-1. Fuel Density'!$B$6:$G$19,6,0)="Use of other GHGs",$AR17*VLOOKUP($AB17,'[1]5-4. Calorific&amp;Emission factor'!$O$9:$Y$74,5,FALSE)/1000000,$AS17*VLOOKUP($AB17,'[1]5-4. Calorific&amp;Emission factor'!$P$9:$Y$74,4,FALSE)/1000000))</f>
        <v>50766.902743857303</v>
      </c>
      <c r="AV17" s="33">
        <f>IF($AB17="","",IF(VLOOKUP($AB17,'[1]5-1. Fuel Density'!$B$6:$G$19,6,0)="Use of other GHGs",0,$AS17*VLOOKUP($AB17,'[1]5-4. Calorific&amp;Emission factor'!$P$9:$Y$74,6,FALSE)/1000000))</f>
        <v>2.1977014174830001</v>
      </c>
      <c r="AW17" s="33">
        <f>IF($AB17="","",IF(VLOOKUP($AB17,'[1]5-1. Fuel Density'!$B$6:$G$19,6,0)="Use of other GHGs",0,$AS17*VLOOKUP($AB17,'[1]5-4. Calorific&amp;Emission factor'!$P$9:$Y$74,9,FALSE)/1000000))</f>
        <v>0.43954028349660001</v>
      </c>
    </row>
    <row r="18" spans="2:49">
      <c r="B18" s="23">
        <v>13</v>
      </c>
      <c r="C18" s="23" t="s">
        <v>69</v>
      </c>
      <c r="D18" s="23" t="s">
        <v>88</v>
      </c>
      <c r="E18" s="24" t="s">
        <v>71</v>
      </c>
      <c r="F18" s="24" t="s">
        <v>42</v>
      </c>
      <c r="G18" s="24" t="s">
        <v>72</v>
      </c>
      <c r="H18" s="24"/>
      <c r="I18" s="24" t="s">
        <v>67</v>
      </c>
      <c r="J18" s="24" t="s">
        <v>89</v>
      </c>
      <c r="K18" s="36">
        <v>1665.7800000000004</v>
      </c>
      <c r="L18" s="27">
        <v>144</v>
      </c>
      <c r="M18" s="27">
        <v>120</v>
      </c>
      <c r="N18" s="27">
        <v>144</v>
      </c>
      <c r="O18" s="27">
        <v>122.46</v>
      </c>
      <c r="P18" s="27">
        <v>122.46</v>
      </c>
      <c r="Q18" s="27">
        <v>146.96</v>
      </c>
      <c r="R18" s="27">
        <v>148.44</v>
      </c>
      <c r="S18" s="27">
        <v>148.44</v>
      </c>
      <c r="T18" s="27">
        <v>123.7</v>
      </c>
      <c r="U18" s="27">
        <v>148.44</v>
      </c>
      <c r="V18" s="27">
        <v>148.44</v>
      </c>
      <c r="W18" s="27">
        <v>148.44</v>
      </c>
      <c r="X18" s="28" t="s">
        <v>59</v>
      </c>
      <c r="Y18" s="23">
        <v>2022</v>
      </c>
      <c r="Z18" s="23" t="str">
        <f>VLOOKUP($E18,'[1]5-2. Emission Facility'!$B$7:$D$16,2,0)</f>
        <v>Mess</v>
      </c>
      <c r="AA18" s="23" t="str">
        <f>VLOOKUP($Z18,'[1]5-2. Emission Facility'!$C$7:$D$16,2,0)</f>
        <v>Others</v>
      </c>
      <c r="AB18" s="23" t="str">
        <f>IF($C18="","",IF(VLOOKUP($C18,'[1]1. General Facility Information'!$C$7:$E$13,3,0)="Korea",'Scope 1'!$I18,INDEX('[1]5-1. Fuel Density'!$B$6:$B$18,MATCH('Scope 1'!$I18,'[1]5-1. Fuel Density'!$C$6:$C$18,0))))</f>
        <v>Liquefied Petroleum Gas (LPG)</v>
      </c>
      <c r="AC18" s="23">
        <f t="shared" si="1"/>
        <v>144</v>
      </c>
      <c r="AD18" s="23">
        <f t="shared" si="0"/>
        <v>120</v>
      </c>
      <c r="AE18" s="23">
        <f t="shared" si="0"/>
        <v>144</v>
      </c>
      <c r="AF18" s="23">
        <f t="shared" si="0"/>
        <v>122.46</v>
      </c>
      <c r="AG18" s="23">
        <f t="shared" si="0"/>
        <v>122.46</v>
      </c>
      <c r="AH18" s="23">
        <f t="shared" si="0"/>
        <v>146.96</v>
      </c>
      <c r="AI18" s="23">
        <f t="shared" si="0"/>
        <v>148.44</v>
      </c>
      <c r="AJ18" s="23">
        <f t="shared" si="0"/>
        <v>148.44</v>
      </c>
      <c r="AK18" s="23">
        <f t="shared" si="0"/>
        <v>123.7</v>
      </c>
      <c r="AL18" s="23">
        <f t="shared" si="0"/>
        <v>148.44</v>
      </c>
      <c r="AM18" s="23">
        <f t="shared" si="0"/>
        <v>148.44</v>
      </c>
      <c r="AN18" s="23">
        <f t="shared" si="0"/>
        <v>148.44</v>
      </c>
      <c r="AO18" s="23" t="str">
        <f t="shared" si="2"/>
        <v/>
      </c>
      <c r="AP18" s="29">
        <f t="shared" si="3"/>
        <v>1665.7800000000004</v>
      </c>
      <c r="AQ18" s="23" t="str">
        <f t="shared" si="4"/>
        <v>kg</v>
      </c>
      <c r="AR18" s="37">
        <f>IF($C18="","",$AP18*IF($AQ18="㎥",VLOOKUP('Scope 1'!AQ18,'[1]5-3. Unit Conversion'!$B$5:$J$13,3,FALSE)*VLOOKUP('Scope 1'!AB18,'[1]5-1. Fuel Density'!$B$6:$D$18,3,FALSE)*1000,IF($AQ18="kg",VLOOKUP('Scope 1'!AQ18,'[1]5-3. Unit Conversion'!$B$16:$G$21,3,FALSE),0)))</f>
        <v>1665.7800000000004</v>
      </c>
      <c r="AS18" s="35">
        <f>IFERROR(IF($AB18="","",IF(VLOOKUP($AB18,'[1]5-1. Fuel Density'!$B$6:$G$19,6,0)="Use of other GHGs",0,IF($AB18="Industrial Wastes",$AR18*'[1]5-4. Calorific&amp;Emission factor'!$R$75,$AR18*VLOOKUP($AB18,'[1]5-4. Calorific&amp;Emission factor'!$P$9:$R$74,3,FALSE)))),0)</f>
        <v>78791.394000000015</v>
      </c>
      <c r="AT18" s="32">
        <f>IF($AB18="","",IF(OR($AB18="Hydrofluorocarbons(HFCs)",$AB18="ETC"),$AR18*VLOOKUP($J18,'[1]5-4. Calorific&amp;Emission factor'!$B$10:$D$14,3,0)/1000,IF(VLOOKUP($AB18,'[1]5-1. Fuel Density'!$B$6:$G$19,6,0)="Use of other GHGs",$AU18/1000,(($AU18*'[1]5-4. Calorific&amp;Emission factor'!$D$7)+($AV18*'[1]5-4. Calorific&amp;Emission factor'!$D$8)+($AW18*'[1]5-4. Calorific&amp;Emission factor'!$D$9))/1000)))</f>
        <v>4.9760153340942006</v>
      </c>
      <c r="AU18" s="33">
        <f>IF($AB18="","",IF(VLOOKUP($AB18,'[1]5-1. Fuel Density'!$B$6:$G$19,6,0)="Use of other GHGs",$AR18*VLOOKUP($AB18,'[1]5-4. Calorific&amp;Emission factor'!$O$9:$Y$74,5,FALSE)/1000000,$AS18*VLOOKUP($AB18,'[1]5-4. Calorific&amp;Emission factor'!$P$9:$Y$74,4,FALSE)/1000000))</f>
        <v>4971.7369614000008</v>
      </c>
      <c r="AV18" s="33">
        <f>IF($AB18="","",IF(VLOOKUP($AB18,'[1]5-1. Fuel Density'!$B$6:$G$19,6,0)="Use of other GHGs",0,$AS18*VLOOKUP($AB18,'[1]5-4. Calorific&amp;Emission factor'!$P$9:$Y$74,6,FALSE)/1000000))</f>
        <v>7.8791394000000015E-2</v>
      </c>
      <c r="AW18" s="33">
        <f>IF($AB18="","",IF(VLOOKUP($AB18,'[1]5-1. Fuel Density'!$B$6:$G$19,6,0)="Use of other GHGs",0,$AS18*VLOOKUP($AB18,'[1]5-4. Calorific&amp;Emission factor'!$P$9:$Y$74,9,FALSE)/1000000))</f>
        <v>7.8791394000000022E-3</v>
      </c>
    </row>
    <row r="19" spans="2:49">
      <c r="B19" s="23">
        <v>14</v>
      </c>
      <c r="C19" s="23" t="s">
        <v>69</v>
      </c>
      <c r="D19" s="23" t="s">
        <v>88</v>
      </c>
      <c r="E19" s="24" t="s">
        <v>73</v>
      </c>
      <c r="F19" s="24" t="s">
        <v>42</v>
      </c>
      <c r="G19" s="24" t="s">
        <v>72</v>
      </c>
      <c r="H19" s="24"/>
      <c r="I19" s="24" t="s">
        <v>74</v>
      </c>
      <c r="J19" s="24" t="s">
        <v>90</v>
      </c>
      <c r="K19" s="36">
        <v>17.454000000000001</v>
      </c>
      <c r="L19" s="27">
        <v>2.5</v>
      </c>
      <c r="M19" s="27">
        <v>1</v>
      </c>
      <c r="N19" s="27">
        <v>1</v>
      </c>
      <c r="O19" s="27">
        <v>1.3</v>
      </c>
      <c r="P19" s="27">
        <v>1.25</v>
      </c>
      <c r="Q19" s="27">
        <v>1</v>
      </c>
      <c r="R19" s="27">
        <v>1</v>
      </c>
      <c r="S19" s="27">
        <v>1.25</v>
      </c>
      <c r="T19" s="27">
        <v>1</v>
      </c>
      <c r="U19" s="27">
        <v>3.65</v>
      </c>
      <c r="V19" s="27">
        <v>1</v>
      </c>
      <c r="W19" s="27">
        <v>1.504</v>
      </c>
      <c r="X19" s="28" t="s">
        <v>46</v>
      </c>
      <c r="Y19" s="23">
        <v>2022</v>
      </c>
      <c r="Z19" s="23" t="str">
        <f>VLOOKUP($E19,'[1]5-2. Emission Facility'!$B$7:$D$16,2,0)</f>
        <v>Generator</v>
      </c>
      <c r="AA19" s="23" t="str">
        <f>VLOOKUP($Z19,'[1]5-2. Emission Facility'!$C$7:$D$16,2,0)</f>
        <v>Stationary Combustion</v>
      </c>
      <c r="AB19" s="23" t="str">
        <f>IF($C19="","",IF(VLOOKUP($C19,'[1]1. General Facility Information'!$C$7:$E$13,3,0)="Korea",'Scope 1'!$I19,INDEX('[1]5-1. Fuel Density'!$B$6:$B$18,MATCH('Scope 1'!$I19,'[1]5-1. Fuel Density'!$C$6:$C$18,0))))</f>
        <v>Gas / Diesel oil</v>
      </c>
      <c r="AC19" s="23">
        <f t="shared" si="1"/>
        <v>2.5</v>
      </c>
      <c r="AD19" s="23">
        <f t="shared" si="0"/>
        <v>1</v>
      </c>
      <c r="AE19" s="23">
        <f t="shared" si="0"/>
        <v>1</v>
      </c>
      <c r="AF19" s="23">
        <f t="shared" si="0"/>
        <v>1.3</v>
      </c>
      <c r="AG19" s="23">
        <f t="shared" si="0"/>
        <v>1.25</v>
      </c>
      <c r="AH19" s="23">
        <f t="shared" si="0"/>
        <v>1</v>
      </c>
      <c r="AI19" s="23">
        <f t="shared" si="0"/>
        <v>1</v>
      </c>
      <c r="AJ19" s="23">
        <f t="shared" si="0"/>
        <v>1.25</v>
      </c>
      <c r="AK19" s="23">
        <f t="shared" si="0"/>
        <v>1</v>
      </c>
      <c r="AL19" s="23">
        <f t="shared" si="0"/>
        <v>3.65</v>
      </c>
      <c r="AM19" s="23">
        <f t="shared" si="0"/>
        <v>1</v>
      </c>
      <c r="AN19" s="23">
        <f t="shared" si="0"/>
        <v>1.504</v>
      </c>
      <c r="AO19" s="23" t="str">
        <f t="shared" si="2"/>
        <v/>
      </c>
      <c r="AP19" s="29">
        <f t="shared" si="3"/>
        <v>17.454000000000001</v>
      </c>
      <c r="AQ19" s="23" t="str">
        <f t="shared" si="4"/>
        <v>㎥</v>
      </c>
      <c r="AR19" s="37">
        <f>IF($C19="","",$AP19*IF($AQ19="㎥",VLOOKUP('Scope 1'!AQ19,'[1]5-3. Unit Conversion'!$B$5:$J$13,3,FALSE)*VLOOKUP('Scope 1'!AB19,'[1]5-1. Fuel Density'!$B$6:$D$18,3,FALSE)*1000,IF($AQ19="kg",VLOOKUP('Scope 1'!AQ19,'[1]5-3. Unit Conversion'!$B$16:$G$21,3,FALSE),0)))</f>
        <v>14731.176000000001</v>
      </c>
      <c r="AS19" s="35">
        <f>IFERROR(IF($AB19="","",IF(VLOOKUP($AB19,'[1]5-1. Fuel Density'!$B$6:$G$19,6,0)="Use of other GHGs",0,IF($AB19="Industrial Wastes",$AR19*'[1]5-4. Calorific&amp;Emission factor'!$R$75,$AR19*VLOOKUP($AB19,'[1]5-4. Calorific&amp;Emission factor'!$P$9:$R$74,3,FALSE)))),0)</f>
        <v>633440.56800000009</v>
      </c>
      <c r="AT19" s="32">
        <f>IF($AB19="","",IF(OR($AB19="Hydrofluorocarbons(HFCs)",$AB19="ETC"),$AR19*VLOOKUP($J19,'[1]5-4. Calorific&amp;Emission factor'!$B$10:$D$14,3,0)/1000,IF(VLOOKUP($AB19,'[1]5-1. Fuel Density'!$B$6:$G$19,6,0)="Use of other GHGs",$AU19/1000,(($AU19*'[1]5-4. Calorific&amp;Emission factor'!$D$7)+($AV19*'[1]5-4. Calorific&amp;Emission factor'!$D$8)+($AW19*'[1]5-4. Calorific&amp;Emission factor'!$D$9))/1000)))</f>
        <v>47.093012339846403</v>
      </c>
      <c r="AU19" s="33">
        <f>IF($AB19="","",IF(VLOOKUP($AB19,'[1]5-1. Fuel Density'!$B$6:$G$19,6,0)="Use of other GHGs",$AR19*VLOOKUP($AB19,'[1]5-4. Calorific&amp;Emission factor'!$O$9:$Y$74,5,FALSE)/1000000,$AS19*VLOOKUP($AB19,'[1]5-4. Calorific&amp;Emission factor'!$P$9:$Y$74,4,FALSE)/1000000))</f>
        <v>46937.946088800003</v>
      </c>
      <c r="AV19" s="33">
        <f>IF($AB19="","",IF(VLOOKUP($AB19,'[1]5-1. Fuel Density'!$B$6:$G$19,6,0)="Use of other GHGs",0,$AS19*VLOOKUP($AB19,'[1]5-4. Calorific&amp;Emission factor'!$P$9:$Y$74,6,FALSE)/1000000))</f>
        <v>1.9003217040000004</v>
      </c>
      <c r="AW19" s="33">
        <f>IF($AB19="","",IF(VLOOKUP($AB19,'[1]5-1. Fuel Density'!$B$6:$G$19,6,0)="Use of other GHGs",0,$AS19*VLOOKUP($AB19,'[1]5-4. Calorific&amp;Emission factor'!$P$9:$Y$74,9,FALSE)/1000000))</f>
        <v>0.38006434080000007</v>
      </c>
    </row>
    <row r="20" spans="2:49">
      <c r="B20" s="23">
        <v>15</v>
      </c>
      <c r="C20" s="23" t="s">
        <v>69</v>
      </c>
      <c r="D20" s="23" t="s">
        <v>88</v>
      </c>
      <c r="E20" s="24" t="s">
        <v>54</v>
      </c>
      <c r="F20" s="24" t="s">
        <v>42</v>
      </c>
      <c r="G20" s="24" t="s">
        <v>72</v>
      </c>
      <c r="H20" s="24"/>
      <c r="I20" s="24" t="s">
        <v>57</v>
      </c>
      <c r="J20" s="24" t="s">
        <v>76</v>
      </c>
      <c r="K20" s="36">
        <v>698000.57717036852</v>
      </c>
      <c r="L20" s="27">
        <v>60628.781792999893</v>
      </c>
      <c r="M20" s="27">
        <v>48182.909664374871</v>
      </c>
      <c r="N20" s="27">
        <v>77836.808441699963</v>
      </c>
      <c r="O20" s="27">
        <v>55660.544681999774</v>
      </c>
      <c r="P20" s="27">
        <v>56527.930570244935</v>
      </c>
      <c r="Q20" s="27">
        <v>76866.122376449857</v>
      </c>
      <c r="R20" s="27">
        <v>63000.92763149977</v>
      </c>
      <c r="S20" s="27">
        <v>45761.761646400024</v>
      </c>
      <c r="T20" s="27">
        <v>43903.110017999905</v>
      </c>
      <c r="U20" s="27">
        <v>53870.258303999755</v>
      </c>
      <c r="V20" s="27">
        <v>52157.979144900019</v>
      </c>
      <c r="W20" s="27">
        <v>63603.442897799818</v>
      </c>
      <c r="X20" s="28" t="s">
        <v>59</v>
      </c>
      <c r="Y20" s="23">
        <v>2022</v>
      </c>
      <c r="Z20" s="23" t="str">
        <f>VLOOKUP($E20,'[1]5-2. Emission Facility'!$B$7:$D$16,2,0)</f>
        <v>Boiler</v>
      </c>
      <c r="AA20" s="23" t="str">
        <f>VLOOKUP($Z20,'[1]5-2. Emission Facility'!$C$7:$D$16,2,0)</f>
        <v>Stationary Combustion</v>
      </c>
      <c r="AB20" s="23" t="str">
        <f>IF($C20="","",IF(VLOOKUP($C20,'[1]1. General Facility Information'!$C$7:$E$13,3,0)="Korea",'Scope 1'!$I20,INDEX('[1]5-1. Fuel Density'!$B$6:$B$18,MATCH('Scope 1'!$I20,'[1]5-1. Fuel Density'!$C$6:$C$18,0))))</f>
        <v>Industrial Wastes</v>
      </c>
      <c r="AC20" s="23">
        <f t="shared" si="1"/>
        <v>60628.781792999893</v>
      </c>
      <c r="AD20" s="23">
        <f t="shared" si="0"/>
        <v>48182.909664374871</v>
      </c>
      <c r="AE20" s="23">
        <f t="shared" si="0"/>
        <v>77836.808441699963</v>
      </c>
      <c r="AF20" s="23">
        <f t="shared" si="0"/>
        <v>55660.544681999774</v>
      </c>
      <c r="AG20" s="23">
        <f t="shared" si="0"/>
        <v>56527.930570244935</v>
      </c>
      <c r="AH20" s="23">
        <f t="shared" si="0"/>
        <v>76866.122376449857</v>
      </c>
      <c r="AI20" s="23">
        <f t="shared" si="0"/>
        <v>63000.92763149977</v>
      </c>
      <c r="AJ20" s="23">
        <f t="shared" si="0"/>
        <v>45761.761646400024</v>
      </c>
      <c r="AK20" s="23">
        <f t="shared" si="0"/>
        <v>43903.110017999905</v>
      </c>
      <c r="AL20" s="23">
        <f t="shared" si="0"/>
        <v>53870.258303999755</v>
      </c>
      <c r="AM20" s="23">
        <f t="shared" si="0"/>
        <v>52157.979144900019</v>
      </c>
      <c r="AN20" s="23">
        <f t="shared" si="0"/>
        <v>63603.442897799818</v>
      </c>
      <c r="AO20" s="23" t="str">
        <f t="shared" si="2"/>
        <v/>
      </c>
      <c r="AP20" s="29">
        <f t="shared" si="3"/>
        <v>698000.57717036852</v>
      </c>
      <c r="AQ20" s="23" t="str">
        <f t="shared" si="4"/>
        <v>kg</v>
      </c>
      <c r="AR20" s="37">
        <f>IF($C20="","",$AP20*IF($AQ20="㎥",VLOOKUP('Scope 1'!AQ20,'[1]5-3. Unit Conversion'!$B$5:$J$13,3,FALSE)*VLOOKUP('Scope 1'!AB20,'[1]5-1. Fuel Density'!$B$6:$D$18,3,FALSE)*1000,IF($AQ20="kg",VLOOKUP('Scope 1'!AQ20,'[1]5-3. Unit Conversion'!$B$16:$G$21,3,FALSE),0)))</f>
        <v>698000.57717036852</v>
      </c>
      <c r="AS20" s="35">
        <f>IFERROR(IF($AB20="","",IF(VLOOKUP($AB20,'[1]5-1. Fuel Density'!$B$6:$G$19,6,0)="Use of other GHGs",0,IF($AB20="Industrial Wastes",$AR20*'[1]5-4. Calorific&amp;Emission factor'!$R$75,$AR20*VLOOKUP($AB20,'[1]5-4. Calorific&amp;Emission factor'!$P$9:$R$74,3,FALSE)))),0)</f>
        <v>15186269.73471126</v>
      </c>
      <c r="AT20" s="32">
        <f>IF($AB20="","",IF(OR($AB20="Hydrofluorocarbons(HFCs)",$AB20="ETC"),$AR20*VLOOKUP($J20,'[1]5-4. Calorific&amp;Emission factor'!$B$10:$D$14,3,0)/1000,IF(VLOOKUP($AB20,'[1]5-1. Fuel Density'!$B$6:$G$19,6,0)="Use of other GHGs",$AU20/1000,(($AU20*'[1]5-4. Calorific&amp;Emission factor'!$D$7)+($AV20*'[1]5-4. Calorific&amp;Emission factor'!$D$8)+($AW20*'[1]5-4. Calorific&amp;Emission factor'!$D$9))/1000)))</f>
        <v>2200.5208570991308</v>
      </c>
      <c r="AU20" s="33">
        <f>IF($AB20="","",IF(VLOOKUP($AB20,'[1]5-1. Fuel Density'!$B$6:$G$19,6,0)="Use of other GHGs",$AR20*VLOOKUP($AB20,'[1]5-4. Calorific&amp;Emission factor'!$O$9:$Y$74,5,FALSE)/1000000,$AS20*VLOOKUP($AB20,'[1]5-4. Calorific&amp;Emission factor'!$P$9:$Y$74,4,FALSE)/1000000))</f>
        <v>2171636.5720637101</v>
      </c>
      <c r="AV20" s="33">
        <f>IF($AB20="","",IF(VLOOKUP($AB20,'[1]5-1. Fuel Density'!$B$6:$G$19,6,0)="Use of other GHGs",0,$AS20*VLOOKUP($AB20,'[1]5-4. Calorific&amp;Emission factor'!$P$9:$Y$74,6,FALSE)/1000000))</f>
        <v>455.5880920413378</v>
      </c>
      <c r="AW20" s="33">
        <f>IF($AB20="","",IF(VLOOKUP($AB20,'[1]5-1. Fuel Density'!$B$6:$G$19,6,0)="Use of other GHGs",0,$AS20*VLOOKUP($AB20,'[1]5-4. Calorific&amp;Emission factor'!$P$9:$Y$74,9,FALSE)/1000000))</f>
        <v>60.74507893884504</v>
      </c>
    </row>
    <row r="21" spans="2:49" ht="16.5" customHeight="1">
      <c r="B21" s="23">
        <v>16</v>
      </c>
      <c r="C21" s="23" t="s">
        <v>69</v>
      </c>
      <c r="D21" s="23" t="s">
        <v>88</v>
      </c>
      <c r="E21" s="24" t="s">
        <v>77</v>
      </c>
      <c r="F21" s="24" t="s">
        <v>78</v>
      </c>
      <c r="G21" s="24" t="s">
        <v>79</v>
      </c>
      <c r="H21" s="24"/>
      <c r="I21" s="24" t="s">
        <v>80</v>
      </c>
      <c r="J21" s="38" t="s">
        <v>81</v>
      </c>
      <c r="K21" s="36">
        <v>45.2</v>
      </c>
      <c r="L21" s="27">
        <v>11.3</v>
      </c>
      <c r="M21" s="27">
        <v>11.3</v>
      </c>
      <c r="N21" s="27">
        <v>11.3</v>
      </c>
      <c r="O21" s="27"/>
      <c r="P21" s="27"/>
      <c r="Q21" s="27"/>
      <c r="R21" s="27"/>
      <c r="S21" s="27"/>
      <c r="T21" s="27"/>
      <c r="U21" s="27"/>
      <c r="V21" s="27">
        <v>11.3</v>
      </c>
      <c r="W21" s="27"/>
      <c r="X21" s="28" t="s">
        <v>59</v>
      </c>
      <c r="Y21" s="23">
        <v>2022</v>
      </c>
      <c r="Z21" s="23" t="str">
        <f>VLOOKUP($E21,'[1]5-2. Emission Facility'!$B$7:$D$16,2,0)</f>
        <v>AC</v>
      </c>
      <c r="AA21" s="23" t="str">
        <f>VLOOKUP($Z21,'[1]5-2. Emission Facility'!$C$7:$D$16,2,0)</f>
        <v>Process Emissions</v>
      </c>
      <c r="AB21" s="23" t="str">
        <f>IF($C21="","",IF(VLOOKUP($C21,'[1]1. General Facility Information'!$C$7:$E$13,3,0)="Korea",'Scope 1'!$I21,INDEX('[1]5-1. Fuel Density'!$B$6:$B$18,MATCH('Scope 1'!$I21,'[1]5-1. Fuel Density'!$C$6:$C$18,0))))</f>
        <v>Hydrofluorocarbons(HFCs)</v>
      </c>
      <c r="AC21" s="23">
        <f t="shared" si="1"/>
        <v>11.3</v>
      </c>
      <c r="AD21" s="23">
        <f t="shared" si="0"/>
        <v>11.3</v>
      </c>
      <c r="AE21" s="23">
        <f t="shared" si="0"/>
        <v>11.3</v>
      </c>
      <c r="AF21" s="23">
        <f t="shared" si="0"/>
        <v>0</v>
      </c>
      <c r="AG21" s="23">
        <f t="shared" si="0"/>
        <v>0</v>
      </c>
      <c r="AH21" s="23">
        <f t="shared" si="0"/>
        <v>0</v>
      </c>
      <c r="AI21" s="23">
        <f t="shared" si="0"/>
        <v>0</v>
      </c>
      <c r="AJ21" s="23">
        <f t="shared" si="0"/>
        <v>0</v>
      </c>
      <c r="AK21" s="23">
        <f t="shared" si="0"/>
        <v>0</v>
      </c>
      <c r="AL21" s="23">
        <f t="shared" si="0"/>
        <v>0</v>
      </c>
      <c r="AM21" s="23">
        <f t="shared" si="0"/>
        <v>11.3</v>
      </c>
      <c r="AN21" s="23">
        <f t="shared" si="0"/>
        <v>0</v>
      </c>
      <c r="AO21" s="23" t="str">
        <f t="shared" si="2"/>
        <v/>
      </c>
      <c r="AP21" s="29">
        <f t="shared" si="3"/>
        <v>45.2</v>
      </c>
      <c r="AQ21" s="23" t="str">
        <f t="shared" si="4"/>
        <v>kg</v>
      </c>
      <c r="AR21" s="37">
        <f>IF($C21="","",$AP21*IF($AQ21="㎥",VLOOKUP('Scope 1'!AQ21,'[1]5-3. Unit Conversion'!$B$5:$J$13,3,FALSE)*VLOOKUP('Scope 1'!AB21,'[1]5-1. Fuel Density'!$B$6:$D$18,3,FALSE)*1000,IF($AQ21="kg",VLOOKUP('Scope 1'!AQ21,'[1]5-3. Unit Conversion'!$B$16:$G$21,3,FALSE),0)))</f>
        <v>45.2</v>
      </c>
      <c r="AS21" s="35">
        <f>IFERROR(IF($AB21="","",IF(VLOOKUP($AB21,'[1]5-1. Fuel Density'!$B$6:$G$19,6,0)="Use of other GHGs",0,IF($AB21="Industrial Wastes",$AR21*'[1]5-4. Calorific&amp;Emission factor'!$R$75,$AR21*VLOOKUP($AB21,'[1]5-4. Calorific&amp;Emission factor'!$P$9:$R$74,3,FALSE)))),0)</f>
        <v>0</v>
      </c>
      <c r="AT21" s="32">
        <f>IF($AB21="","",IF(OR($AB21="Hydrofluorocarbons(HFCs)",$AB21="ETC"),$AR21*VLOOKUP($J21,'[1]5-4. Calorific&amp;Emission factor'!$B$10:$D$14,3,0)/1000,IF(VLOOKUP($AB21,'[1]5-1. Fuel Density'!$B$6:$G$19,6,0)="Use of other GHGs",$AU21/1000,(($AU21*'[1]5-4. Calorific&amp;Emission factor'!$D$7)+($AV21*'[1]5-4. Calorific&amp;Emission factor'!$D$8)+($AW21*'[1]5-4. Calorific&amp;Emission factor'!$D$9))/1000)))</f>
        <v>101.9486</v>
      </c>
      <c r="AU21" s="33">
        <f>IF($AB21="","",IF(VLOOKUP($AB21,'[1]5-1. Fuel Density'!$B$6:$G$19,6,0)="Use of other GHGs",$AR21*VLOOKUP($AB21,'[1]5-4. Calorific&amp;Emission factor'!$O$9:$Y$74,5,FALSE)/1000000,$AS21*VLOOKUP($AB21,'[1]5-4. Calorific&amp;Emission factor'!$P$9:$Y$74,4,FALSE)/1000000))</f>
        <v>0</v>
      </c>
      <c r="AV21" s="33">
        <f>IF($AB21="","",IF(VLOOKUP($AB21,'[1]5-1. Fuel Density'!$B$6:$G$19,6,0)="Use of other GHGs",0,$AS21*VLOOKUP($AB21,'[1]5-4. Calorific&amp;Emission factor'!$P$9:$Y$74,6,FALSE)/1000000))</f>
        <v>0</v>
      </c>
      <c r="AW21" s="33">
        <f>IF($AB21="","",IF(VLOOKUP($AB21,'[1]5-1. Fuel Density'!$B$6:$G$19,6,0)="Use of other GHGs",0,$AS21*VLOOKUP($AB21,'[1]5-4. Calorific&amp;Emission factor'!$P$9:$Y$74,9,FALSE)/1000000))</f>
        <v>0</v>
      </c>
    </row>
    <row r="22" spans="2:49">
      <c r="B22" s="23">
        <v>17</v>
      </c>
      <c r="C22" s="23" t="s">
        <v>69</v>
      </c>
      <c r="D22" s="23" t="s">
        <v>88</v>
      </c>
      <c r="E22" s="24" t="s">
        <v>77</v>
      </c>
      <c r="F22" s="24" t="s">
        <v>78</v>
      </c>
      <c r="G22" s="24" t="s">
        <v>79</v>
      </c>
      <c r="H22" s="24"/>
      <c r="I22" s="24" t="s">
        <v>82</v>
      </c>
      <c r="J22" s="38" t="s">
        <v>83</v>
      </c>
      <c r="K22" s="36">
        <v>27.2</v>
      </c>
      <c r="L22" s="27"/>
      <c r="M22" s="27"/>
      <c r="N22" s="27"/>
      <c r="O22" s="27"/>
      <c r="P22" s="27"/>
      <c r="Q22" s="27"/>
      <c r="R22" s="27"/>
      <c r="S22" s="27"/>
      <c r="T22" s="27"/>
      <c r="U22" s="27"/>
      <c r="V22" s="27">
        <v>27.2</v>
      </c>
      <c r="W22" s="27"/>
      <c r="X22" s="28" t="s">
        <v>59</v>
      </c>
      <c r="Y22" s="23">
        <v>2022</v>
      </c>
      <c r="Z22" s="23" t="str">
        <f>VLOOKUP($E22,'[1]5-2. Emission Facility'!$B$7:$D$16,2,0)</f>
        <v>AC</v>
      </c>
      <c r="AA22" s="23" t="str">
        <f>VLOOKUP($Z22,'[1]5-2. Emission Facility'!$C$7:$D$16,2,0)</f>
        <v>Process Emissions</v>
      </c>
      <c r="AB22" s="23" t="str">
        <f>IF($C22="","",IF(VLOOKUP($C22,'[1]1. General Facility Information'!$C$7:$E$13,3,0)="Korea",'Scope 1'!$I22,INDEX('[1]5-1. Fuel Density'!$B$6:$B$18,MATCH('Scope 1'!$I22,'[1]5-1. Fuel Density'!$C$6:$C$18,0))))</f>
        <v>Hydrofluorocarbons(HFCs)</v>
      </c>
      <c r="AC22" s="23">
        <f t="shared" si="1"/>
        <v>0</v>
      </c>
      <c r="AD22" s="23">
        <f t="shared" ref="AD22:AN47" si="5">IF(OR($X22="㎥",$X22="kg"),M22,"")</f>
        <v>0</v>
      </c>
      <c r="AE22" s="23">
        <f t="shared" si="5"/>
        <v>0</v>
      </c>
      <c r="AF22" s="23">
        <f t="shared" si="5"/>
        <v>0</v>
      </c>
      <c r="AG22" s="23">
        <f t="shared" si="5"/>
        <v>0</v>
      </c>
      <c r="AH22" s="23">
        <f t="shared" si="5"/>
        <v>0</v>
      </c>
      <c r="AI22" s="23">
        <f t="shared" si="5"/>
        <v>0</v>
      </c>
      <c r="AJ22" s="23">
        <f t="shared" si="5"/>
        <v>0</v>
      </c>
      <c r="AK22" s="23">
        <f t="shared" si="5"/>
        <v>0</v>
      </c>
      <c r="AL22" s="23">
        <f t="shared" si="5"/>
        <v>0</v>
      </c>
      <c r="AM22" s="23">
        <f t="shared" si="5"/>
        <v>27.2</v>
      </c>
      <c r="AN22" s="23">
        <f t="shared" si="5"/>
        <v>0</v>
      </c>
      <c r="AO22" s="23" t="str">
        <f t="shared" si="2"/>
        <v/>
      </c>
      <c r="AP22" s="29">
        <f t="shared" si="3"/>
        <v>27.2</v>
      </c>
      <c r="AQ22" s="23" t="str">
        <f t="shared" si="4"/>
        <v>kg</v>
      </c>
      <c r="AR22" s="37">
        <f>IF($C22="","",$AP22*IF($AQ22="㎥",VLOOKUP('Scope 1'!AQ22,'[1]5-3. Unit Conversion'!$B$5:$J$13,3,FALSE)*VLOOKUP('Scope 1'!AB22,'[1]5-1. Fuel Density'!$B$6:$D$18,3,FALSE)*1000,IF($AQ22="kg",VLOOKUP('Scope 1'!AQ22,'[1]5-3. Unit Conversion'!$B$16:$G$21,3,FALSE),0)))</f>
        <v>27.2</v>
      </c>
      <c r="AS22" s="35">
        <f>IFERROR(IF($AB22="","",IF(VLOOKUP($AB22,'[1]5-1. Fuel Density'!$B$6:$G$19,6,0)="Use of other GHGs",0,IF($AB22="Industrial Wastes",$AR22*'[1]5-4. Calorific&amp;Emission factor'!$R$75,$AR22*VLOOKUP($AB22,'[1]5-4. Calorific&amp;Emission factor'!$P$9:$R$74,3,FALSE)))),0)</f>
        <v>0</v>
      </c>
      <c r="AT22" s="32">
        <f>IF($AB22="","",IF(OR($AB22="Hydrofluorocarbons(HFCs)",$AB22="ETC"),$AR22*VLOOKUP($J22,'[1]5-4. Calorific&amp;Emission factor'!$B$10:$D$14,3,0)/1000,IF(VLOOKUP($AB22,'[1]5-1. Fuel Density'!$B$6:$G$19,6,0)="Use of other GHGs",$AU22/1000,(($AU22*'[1]5-4. Calorific&amp;Emission factor'!$D$7)+($AV22*'[1]5-4. Calorific&amp;Emission factor'!$D$8)+($AW22*'[1]5-4. Calorific&amp;Emission factor'!$D$9))/1000)))</f>
        <v>53.311999999999998</v>
      </c>
      <c r="AU22" s="33">
        <f>IF($AB22="","",IF(VLOOKUP($AB22,'[1]5-1. Fuel Density'!$B$6:$G$19,6,0)="Use of other GHGs",$AR22*VLOOKUP($AB22,'[1]5-4. Calorific&amp;Emission factor'!$O$9:$Y$74,5,FALSE)/1000000,$AS22*VLOOKUP($AB22,'[1]5-4. Calorific&amp;Emission factor'!$P$9:$Y$74,4,FALSE)/1000000))</f>
        <v>0</v>
      </c>
      <c r="AV22" s="33">
        <f>IF($AB22="","",IF(VLOOKUP($AB22,'[1]5-1. Fuel Density'!$B$6:$G$19,6,0)="Use of other GHGs",0,$AS22*VLOOKUP($AB22,'[1]5-4. Calorific&amp;Emission factor'!$P$9:$Y$74,6,FALSE)/1000000))</f>
        <v>0</v>
      </c>
      <c r="AW22" s="33">
        <f>IF($AB22="","",IF(VLOOKUP($AB22,'[1]5-1. Fuel Density'!$B$6:$G$19,6,0)="Use of other GHGs",0,$AS22*VLOOKUP($AB22,'[1]5-4. Calorific&amp;Emission factor'!$P$9:$Y$74,9,FALSE)/1000000))</f>
        <v>0</v>
      </c>
    </row>
    <row r="23" spans="2:49">
      <c r="B23" s="23">
        <v>18</v>
      </c>
      <c r="C23" s="23" t="s">
        <v>69</v>
      </c>
      <c r="D23" s="23" t="s">
        <v>88</v>
      </c>
      <c r="E23" s="24" t="s">
        <v>77</v>
      </c>
      <c r="F23" s="24" t="s">
        <v>78</v>
      </c>
      <c r="G23" s="24" t="s">
        <v>79</v>
      </c>
      <c r="H23" s="24"/>
      <c r="I23" s="24" t="s">
        <v>80</v>
      </c>
      <c r="J23" s="38" t="s">
        <v>91</v>
      </c>
      <c r="K23" s="36">
        <v>10</v>
      </c>
      <c r="L23" s="27"/>
      <c r="M23" s="27">
        <v>10</v>
      </c>
      <c r="N23" s="27"/>
      <c r="O23" s="27"/>
      <c r="P23" s="27"/>
      <c r="Q23" s="27"/>
      <c r="R23" s="27"/>
      <c r="S23" s="27"/>
      <c r="T23" s="27"/>
      <c r="U23" s="27"/>
      <c r="V23" s="27"/>
      <c r="W23" s="27"/>
      <c r="X23" s="28" t="s">
        <v>59</v>
      </c>
      <c r="Y23" s="23">
        <v>2022</v>
      </c>
      <c r="Z23" s="23" t="str">
        <f>VLOOKUP($E23,'[1]5-2. Emission Facility'!$B$7:$D$16,2,0)</f>
        <v>AC</v>
      </c>
      <c r="AA23" s="23" t="str">
        <f>VLOOKUP($Z23,'[1]5-2. Emission Facility'!$C$7:$D$16,2,0)</f>
        <v>Process Emissions</v>
      </c>
      <c r="AB23" s="23" t="str">
        <f>IF($C23="","",IF(VLOOKUP($C23,'[1]1. General Facility Information'!$C$7:$E$13,3,0)="Korea",'Scope 1'!$I23,INDEX('[1]5-1. Fuel Density'!$B$6:$B$18,MATCH('Scope 1'!$I23,'[1]5-1. Fuel Density'!$C$6:$C$18,0))))</f>
        <v>Hydrofluorocarbons(HFCs)</v>
      </c>
      <c r="AC23" s="23"/>
      <c r="AD23" s="23"/>
      <c r="AE23" s="23"/>
      <c r="AF23" s="23"/>
      <c r="AG23" s="23"/>
      <c r="AH23" s="23"/>
      <c r="AI23" s="23"/>
      <c r="AJ23" s="23"/>
      <c r="AK23" s="23"/>
      <c r="AL23" s="23"/>
      <c r="AM23" s="23"/>
      <c r="AN23" s="23"/>
      <c r="AO23" s="23"/>
      <c r="AP23" s="29">
        <f t="shared" si="3"/>
        <v>10</v>
      </c>
      <c r="AQ23" s="23" t="str">
        <f t="shared" si="4"/>
        <v>kg</v>
      </c>
      <c r="AR23" s="37">
        <f>IF($C23="","",$AP23*IF($AQ23="㎥",VLOOKUP('Scope 1'!AQ23,'[1]5-3. Unit Conversion'!$B$5:$J$13,3,FALSE)*VLOOKUP('Scope 1'!AB23,'[1]5-1. Fuel Density'!$B$6:$D$18,3,FALSE)*1000,IF($AQ23="kg",VLOOKUP('Scope 1'!AQ23,'[1]5-3. Unit Conversion'!$B$16:$G$21,3,FALSE),0)))</f>
        <v>10</v>
      </c>
      <c r="AS23" s="35">
        <f>IFERROR(IF($AB23="","",IF(VLOOKUP($AB23,'[1]5-1. Fuel Density'!$B$6:$G$19,6,0)="Use of other GHGs",0,IF($AB23="Industrial Wastes",$AR23*'[1]5-4. Calorific&amp;Emission factor'!$R$75,$AR23*VLOOKUP($AB23,'[1]5-4. Calorific&amp;Emission factor'!$P$9:$R$74,3,FALSE)))),0)</f>
        <v>0</v>
      </c>
      <c r="AT23" s="32">
        <f>IF($AB23="","",IF(OR($AB23="Hydrofluorocarbons(HFCs)",$AB23="ETC"),$AR23*VLOOKUP($J23,'[1]5-4. Calorific&amp;Emission factor'!$B$10:$D$14,3,0)/1000,IF(VLOOKUP($AB23,'[1]5-1. Fuel Density'!$B$6:$G$19,6,0)="Use of other GHGs",$AU23/1000,(($AU23*'[1]5-4. Calorific&amp;Emission factor'!$D$7)+($AV23*'[1]5-4. Calorific&amp;Emission factor'!$D$8)+($AW23*'[1]5-4. Calorific&amp;Emission factor'!$D$9))/1000)))</f>
        <v>7.71</v>
      </c>
      <c r="AU23" s="33">
        <f>IF($AB23="","",IF(VLOOKUP($AB23,'[1]5-1. Fuel Density'!$B$6:$G$19,6,0)="Use of other GHGs",$AR23*VLOOKUP($AB23,'[1]5-4. Calorific&amp;Emission factor'!$O$9:$Y$74,5,FALSE)/1000000,$AS23*VLOOKUP($AB23,'[1]5-4. Calorific&amp;Emission factor'!$P$9:$Y$74,4,FALSE)/1000000))</f>
        <v>0</v>
      </c>
      <c r="AV23" s="33">
        <f>IF($AB23="","",IF(VLOOKUP($AB23,'[1]5-1. Fuel Density'!$B$6:$G$19,6,0)="Use of other GHGs",0,$AS23*VLOOKUP($AB23,'[1]5-4. Calorific&amp;Emission factor'!$P$9:$Y$74,6,FALSE)/1000000))</f>
        <v>0</v>
      </c>
      <c r="AW23" s="33">
        <f>IF($AB23="","",IF(VLOOKUP($AB23,'[1]5-1. Fuel Density'!$B$6:$G$19,6,0)="Use of other GHGs",0,$AS23*VLOOKUP($AB23,'[1]5-4. Calorific&amp;Emission factor'!$P$9:$Y$74,9,FALSE)/1000000))</f>
        <v>0</v>
      </c>
    </row>
    <row r="24" spans="2:49">
      <c r="B24" s="23">
        <v>19</v>
      </c>
      <c r="C24" s="23" t="s">
        <v>69</v>
      </c>
      <c r="D24" s="23" t="s">
        <v>88</v>
      </c>
      <c r="E24" s="24" t="s">
        <v>84</v>
      </c>
      <c r="F24" s="24" t="s">
        <v>42</v>
      </c>
      <c r="G24" s="24" t="s">
        <v>43</v>
      </c>
      <c r="H24" s="24"/>
      <c r="I24" s="24" t="s">
        <v>85</v>
      </c>
      <c r="J24" s="24" t="s">
        <v>86</v>
      </c>
      <c r="K24" s="36">
        <v>188.29961700000004</v>
      </c>
      <c r="L24" s="27">
        <v>22.499667000000006</v>
      </c>
      <c r="M24" s="27">
        <v>19.063190000000002</v>
      </c>
      <c r="N24" s="27">
        <v>20.269809999999993</v>
      </c>
      <c r="O24" s="27">
        <v>25.025762000000007</v>
      </c>
      <c r="P24" s="27">
        <v>21.416898000000007</v>
      </c>
      <c r="Q24" s="27">
        <v>21.363484999999997</v>
      </c>
      <c r="R24" s="27">
        <v>25.041325000000025</v>
      </c>
      <c r="S24" s="27">
        <v>23.308638999999992</v>
      </c>
      <c r="T24" s="27">
        <v>3.38334</v>
      </c>
      <c r="U24" s="27">
        <v>1.9805010000000001</v>
      </c>
      <c r="V24" s="27">
        <v>2.4870000000000001</v>
      </c>
      <c r="W24" s="27">
        <v>2.46</v>
      </c>
      <c r="X24" s="28" t="s">
        <v>46</v>
      </c>
      <c r="Y24" s="23">
        <v>2022</v>
      </c>
      <c r="Z24" s="23" t="str">
        <f>VLOOKUP($E24,'[1]5-2. Emission Facility'!$B$7:$D$16,2,0)</f>
        <v>Vehicle</v>
      </c>
      <c r="AA24" s="23" t="str">
        <f>VLOOKUP($Z24,'[1]5-2. Emission Facility'!$C$7:$D$16,2,0)</f>
        <v>Mobile combustion</v>
      </c>
      <c r="AB24" s="23" t="str">
        <f>IF($C24="","",IF(VLOOKUP($C24,'[1]1. General Facility Information'!$C$7:$E$13,3,0)="Korea",'Scope 1'!$I24,INDEX('[1]5-1. Fuel Density'!$B$6:$B$18,MATCH('Scope 1'!$I24,'[1]5-1. Fuel Density'!$C$6:$C$18,0))))</f>
        <v>Automotive gasoline (petrol)</v>
      </c>
      <c r="AC24" s="23">
        <f t="shared" si="1"/>
        <v>22.499667000000006</v>
      </c>
      <c r="AD24" s="23">
        <f t="shared" si="5"/>
        <v>19.063190000000002</v>
      </c>
      <c r="AE24" s="23">
        <f t="shared" si="5"/>
        <v>20.269809999999993</v>
      </c>
      <c r="AF24" s="23">
        <f t="shared" si="5"/>
        <v>25.025762000000007</v>
      </c>
      <c r="AG24" s="23">
        <f t="shared" si="5"/>
        <v>21.416898000000007</v>
      </c>
      <c r="AH24" s="23">
        <f t="shared" si="5"/>
        <v>21.363484999999997</v>
      </c>
      <c r="AI24" s="23">
        <f t="shared" si="5"/>
        <v>25.041325000000025</v>
      </c>
      <c r="AJ24" s="23">
        <f t="shared" si="5"/>
        <v>23.308638999999992</v>
      </c>
      <c r="AK24" s="23">
        <f t="shared" si="5"/>
        <v>3.38334</v>
      </c>
      <c r="AL24" s="23">
        <f t="shared" si="5"/>
        <v>1.9805010000000001</v>
      </c>
      <c r="AM24" s="23">
        <f t="shared" si="5"/>
        <v>2.4870000000000001</v>
      </c>
      <c r="AN24" s="23">
        <f t="shared" si="5"/>
        <v>2.46</v>
      </c>
      <c r="AO24" s="23" t="str">
        <f t="shared" si="2"/>
        <v/>
      </c>
      <c r="AP24" s="29">
        <f t="shared" si="3"/>
        <v>188.29961700000004</v>
      </c>
      <c r="AQ24" s="23" t="str">
        <f t="shared" si="4"/>
        <v>㎥</v>
      </c>
      <c r="AR24" s="37">
        <f>IF($C24="","",$AP24*IF($AQ24="㎥",VLOOKUP('Scope 1'!AQ24,'[1]5-3. Unit Conversion'!$B$5:$J$13,3,FALSE)*VLOOKUP('Scope 1'!AB24,'[1]5-1. Fuel Density'!$B$6:$D$18,3,FALSE)*1000,IF($AQ24="kg",VLOOKUP('Scope 1'!AQ24,'[1]5-3. Unit Conversion'!$B$16:$G$21,3,FALSE),0)))</f>
        <v>139530.01619700002</v>
      </c>
      <c r="AS24" s="35">
        <f>IFERROR(IF($AB24="","",IF(VLOOKUP($AB24,'[1]5-1. Fuel Density'!$B$6:$G$19,6,0)="Use of other GHGs",0,IF($AB24="Industrial Wastes",$AR24*'[1]5-4. Calorific&amp;Emission factor'!$R$75,$AR24*VLOOKUP($AB24,'[1]5-4. Calorific&amp;Emission factor'!$P$9:$R$74,3,FALSE)))),0)</f>
        <v>6181179.7175271008</v>
      </c>
      <c r="AT24" s="32">
        <f>IF($AB24="","",IF(OR($AB24="Hydrofluorocarbons(HFCs)",$AB24="ETC"),$AR24*VLOOKUP($J24,'[1]5-4. Calorific&amp;Emission factor'!$B$10:$D$14,3,0)/1000,IF(VLOOKUP($AB24,'[1]5-1. Fuel Density'!$B$6:$G$19,6,0)="Use of other GHGs",$AU24/1000,(($AU24*'[1]5-4. Calorific&amp;Emission factor'!$D$7)+($AV24*'[1]5-4. Calorific&amp;Emission factor'!$D$8)+($AW24*'[1]5-4. Calorific&amp;Emission factor'!$D$9))/1000)))</f>
        <v>429.86890721947873</v>
      </c>
      <c r="AU24" s="33">
        <f>IF($AB24="","",IF(VLOOKUP($AB24,'[1]5-1. Fuel Density'!$B$6:$G$19,6,0)="Use of other GHGs",$AR24*VLOOKUP($AB24,'[1]5-4. Calorific&amp;Emission factor'!$O$9:$Y$74,5,FALSE)/1000000,$AS24*VLOOKUP($AB24,'[1]5-4. Calorific&amp;Emission factor'!$P$9:$Y$74,4,FALSE)/1000000))</f>
        <v>428355.7544246281</v>
      </c>
      <c r="AV24" s="33">
        <f>IF($AB24="","",IF(VLOOKUP($AB24,'[1]5-1. Fuel Density'!$B$6:$G$19,6,0)="Use of other GHGs",0,$AS24*VLOOKUP($AB24,'[1]5-4. Calorific&amp;Emission factor'!$P$9:$Y$74,6,FALSE)/1000000))</f>
        <v>18.543539152581303</v>
      </c>
      <c r="AW24" s="33">
        <f>IF($AB24="","",IF(VLOOKUP($AB24,'[1]5-1. Fuel Density'!$B$6:$G$19,6,0)="Use of other GHGs",0,$AS24*VLOOKUP($AB24,'[1]5-4. Calorific&amp;Emission factor'!$P$9:$Y$74,9,FALSE)/1000000))</f>
        <v>3.7087078305162606</v>
      </c>
    </row>
    <row r="25" spans="2:49">
      <c r="B25" s="23">
        <v>20</v>
      </c>
      <c r="C25" s="23" t="s">
        <v>69</v>
      </c>
      <c r="D25" s="23" t="s">
        <v>88</v>
      </c>
      <c r="E25" s="24" t="s">
        <v>84</v>
      </c>
      <c r="F25" s="24" t="s">
        <v>42</v>
      </c>
      <c r="G25" s="24" t="s">
        <v>43</v>
      </c>
      <c r="H25" s="24"/>
      <c r="I25" s="24" t="s">
        <v>85</v>
      </c>
      <c r="J25" s="24" t="s">
        <v>87</v>
      </c>
      <c r="K25" s="36">
        <v>90.347002000000003</v>
      </c>
      <c r="L25" s="27">
        <v>0.44750000000000001</v>
      </c>
      <c r="M25" s="27">
        <v>0.86</v>
      </c>
      <c r="N25" s="27">
        <v>1.1459999999999999</v>
      </c>
      <c r="O25" s="27">
        <v>1.978</v>
      </c>
      <c r="P25" s="27">
        <v>1.786362</v>
      </c>
      <c r="Q25" s="27">
        <v>2.1564200000000002</v>
      </c>
      <c r="R25" s="27">
        <v>1.74</v>
      </c>
      <c r="S25" s="27">
        <v>1.04955</v>
      </c>
      <c r="T25" s="27">
        <v>18.020700000000005</v>
      </c>
      <c r="U25" s="27">
        <v>22.359880000000008</v>
      </c>
      <c r="V25" s="27">
        <v>19.010670000000001</v>
      </c>
      <c r="W25" s="27">
        <v>19.791919999999998</v>
      </c>
      <c r="X25" s="28" t="s">
        <v>46</v>
      </c>
      <c r="Y25" s="23">
        <v>2022</v>
      </c>
      <c r="Z25" s="23" t="str">
        <f>VLOOKUP($E25,'[1]5-2. Emission Facility'!$B$7:$D$16,2,0)</f>
        <v>Vehicle</v>
      </c>
      <c r="AA25" s="23" t="str">
        <f>VLOOKUP($Z25,'[1]5-2. Emission Facility'!$C$7:$D$16,2,0)</f>
        <v>Mobile combustion</v>
      </c>
      <c r="AB25" s="23" t="str">
        <f>IF($C25="","",IF(VLOOKUP($C25,'[1]1. General Facility Information'!$C$7:$E$13,3,0)="Korea",'Scope 1'!$I25,INDEX('[1]5-1. Fuel Density'!$B$6:$B$18,MATCH('Scope 1'!$I25,'[1]5-1. Fuel Density'!$C$6:$C$18,0))))</f>
        <v>Automotive gasoline (petrol)</v>
      </c>
      <c r="AC25" s="23">
        <f t="shared" si="1"/>
        <v>0.44750000000000001</v>
      </c>
      <c r="AD25" s="23">
        <f t="shared" si="5"/>
        <v>0.86</v>
      </c>
      <c r="AE25" s="23">
        <f t="shared" si="5"/>
        <v>1.1459999999999999</v>
      </c>
      <c r="AF25" s="23">
        <f t="shared" si="5"/>
        <v>1.978</v>
      </c>
      <c r="AG25" s="23">
        <f t="shared" si="5"/>
        <v>1.786362</v>
      </c>
      <c r="AH25" s="23">
        <f t="shared" si="5"/>
        <v>2.1564200000000002</v>
      </c>
      <c r="AI25" s="23">
        <f t="shared" si="5"/>
        <v>1.74</v>
      </c>
      <c r="AJ25" s="23">
        <f t="shared" si="5"/>
        <v>1.04955</v>
      </c>
      <c r="AK25" s="23">
        <f t="shared" si="5"/>
        <v>18.020700000000005</v>
      </c>
      <c r="AL25" s="23">
        <f t="shared" si="5"/>
        <v>22.359880000000008</v>
      </c>
      <c r="AM25" s="23">
        <f t="shared" si="5"/>
        <v>19.010670000000001</v>
      </c>
      <c r="AN25" s="23">
        <f t="shared" si="5"/>
        <v>19.791919999999998</v>
      </c>
      <c r="AO25" s="23" t="str">
        <f t="shared" si="2"/>
        <v/>
      </c>
      <c r="AP25" s="29">
        <f t="shared" si="3"/>
        <v>90.347002000000003</v>
      </c>
      <c r="AQ25" s="23" t="str">
        <f t="shared" si="4"/>
        <v>㎥</v>
      </c>
      <c r="AR25" s="37">
        <f>IF($C25="","",$AP25*IF($AQ25="㎥",VLOOKUP('Scope 1'!AQ25,'[1]5-3. Unit Conversion'!$B$5:$J$13,3,FALSE)*VLOOKUP('Scope 1'!AB25,'[1]5-1. Fuel Density'!$B$6:$D$18,3,FALSE)*1000,IF($AQ25="kg",VLOOKUP('Scope 1'!AQ25,'[1]5-3. Unit Conversion'!$B$16:$G$21,3,FALSE),0)))</f>
        <v>66947.128482</v>
      </c>
      <c r="AS25" s="35">
        <f>IFERROR(IF($AB25="","",IF(VLOOKUP($AB25,'[1]5-1. Fuel Density'!$B$6:$G$19,6,0)="Use of other GHGs",0,IF($AB25="Industrial Wastes",$AR25*'[1]5-4. Calorific&amp;Emission factor'!$R$75,$AR25*VLOOKUP($AB25,'[1]5-4. Calorific&amp;Emission factor'!$P$9:$R$74,3,FALSE)))),0)</f>
        <v>2965757.7917525996</v>
      </c>
      <c r="AT25" s="32">
        <f>IF($AB25="","",IF(OR($AB25="Hydrofluorocarbons(HFCs)",$AB25="ETC"),$AR25*VLOOKUP($J25,'[1]5-4. Calorific&amp;Emission factor'!$B$10:$D$14,3,0)/1000,IF(VLOOKUP($AB25,'[1]5-1. Fuel Density'!$B$6:$G$19,6,0)="Use of other GHGs",$AU25/1000,(($AU25*'[1]5-4. Calorific&amp;Emission factor'!$D$7)+($AV25*'[1]5-4. Calorific&amp;Emission factor'!$D$8)+($AW25*'[1]5-4. Calorific&amp;Emission factor'!$D$9))/1000)))</f>
        <v>206.25303247587621</v>
      </c>
      <c r="AU25" s="33">
        <f>IF($AB25="","",IF(VLOOKUP($AB25,'[1]5-1. Fuel Density'!$B$6:$G$19,6,0)="Use of other GHGs",$AR25*VLOOKUP($AB25,'[1]5-4. Calorific&amp;Emission factor'!$O$9:$Y$74,5,FALSE)/1000000,$AS25*VLOOKUP($AB25,'[1]5-4. Calorific&amp;Emission factor'!$P$9:$Y$74,4,FALSE)/1000000))</f>
        <v>205527.01496845516</v>
      </c>
      <c r="AV25" s="33">
        <f>IF($AB25="","",IF(VLOOKUP($AB25,'[1]5-1. Fuel Density'!$B$6:$G$19,6,0)="Use of other GHGs",0,$AS25*VLOOKUP($AB25,'[1]5-4. Calorific&amp;Emission factor'!$P$9:$Y$74,6,FALSE)/1000000))</f>
        <v>8.8972733752578002</v>
      </c>
      <c r="AW25" s="33">
        <f>IF($AB25="","",IF(VLOOKUP($AB25,'[1]5-1. Fuel Density'!$B$6:$G$19,6,0)="Use of other GHGs",0,$AS25*VLOOKUP($AB25,'[1]5-4. Calorific&amp;Emission factor'!$P$9:$Y$74,9,FALSE)/1000000))</f>
        <v>1.7794546750515596</v>
      </c>
    </row>
    <row r="26" spans="2:49">
      <c r="B26" s="23">
        <v>21</v>
      </c>
      <c r="C26" s="23" t="s">
        <v>92</v>
      </c>
      <c r="D26" s="23" t="s">
        <v>92</v>
      </c>
      <c r="E26" s="24" t="s">
        <v>41</v>
      </c>
      <c r="F26" s="24" t="s">
        <v>42</v>
      </c>
      <c r="G26" s="24" t="s">
        <v>49</v>
      </c>
      <c r="H26" s="24" t="s">
        <v>50</v>
      </c>
      <c r="I26" s="24" t="s">
        <v>51</v>
      </c>
      <c r="J26" s="24" t="s">
        <v>93</v>
      </c>
      <c r="K26" s="36">
        <v>31.301693999999998</v>
      </c>
      <c r="L26" s="27">
        <v>1.586848</v>
      </c>
      <c r="M26" s="27">
        <v>1.6355740000000001</v>
      </c>
      <c r="N26" s="27">
        <v>1.5783640000000001</v>
      </c>
      <c r="O26" s="27">
        <v>3.0343910000000003</v>
      </c>
      <c r="P26" s="27">
        <v>1.94021</v>
      </c>
      <c r="Q26" s="27">
        <v>2.4329640000000001</v>
      </c>
      <c r="R26" s="27">
        <v>3.270419</v>
      </c>
      <c r="S26" s="27">
        <v>2.6048090000000004</v>
      </c>
      <c r="T26" s="27">
        <v>3.6952440000000002</v>
      </c>
      <c r="U26" s="27">
        <v>3.031793</v>
      </c>
      <c r="V26" s="27">
        <v>2.8202989999999999</v>
      </c>
      <c r="W26" s="27">
        <v>3.670779</v>
      </c>
      <c r="X26" s="28" t="s">
        <v>46</v>
      </c>
      <c r="Y26" s="23">
        <v>2022</v>
      </c>
      <c r="Z26" s="23" t="str">
        <f>VLOOKUP($E26,'[1]5-2. Emission Facility'!$B$7:$D$16,2,0)</f>
        <v>Vehicle</v>
      </c>
      <c r="AA26" s="23" t="str">
        <f>VLOOKUP($Z26,'[1]5-2. Emission Facility'!$C$7:$D$16,2,0)</f>
        <v>Mobile combustion</v>
      </c>
      <c r="AB26" s="23" t="str">
        <f>IF($C26="","",IF(VLOOKUP($C26,'[1]1. General Facility Information'!$C$7:$E$13,3,0)="Korea",'Scope 1'!$I26,INDEX('[1]5-1. Fuel Density'!$B$6:$B$18,MATCH('Scope 1'!$I26,'[1]5-1. Fuel Density'!$C$6:$C$18,0))))</f>
        <v>Automotive gasoline (petrol)</v>
      </c>
      <c r="AC26" s="23">
        <f t="shared" si="1"/>
        <v>1.586848</v>
      </c>
      <c r="AD26" s="23">
        <f t="shared" si="5"/>
        <v>1.6355740000000001</v>
      </c>
      <c r="AE26" s="23">
        <f t="shared" si="5"/>
        <v>1.5783640000000001</v>
      </c>
      <c r="AF26" s="23">
        <f t="shared" si="5"/>
        <v>3.0343910000000003</v>
      </c>
      <c r="AG26" s="23">
        <f t="shared" si="5"/>
        <v>1.94021</v>
      </c>
      <c r="AH26" s="23">
        <f t="shared" si="5"/>
        <v>2.4329640000000001</v>
      </c>
      <c r="AI26" s="23">
        <f t="shared" si="5"/>
        <v>3.270419</v>
      </c>
      <c r="AJ26" s="23">
        <f t="shared" si="5"/>
        <v>2.6048090000000004</v>
      </c>
      <c r="AK26" s="23">
        <f t="shared" si="5"/>
        <v>3.6952440000000002</v>
      </c>
      <c r="AL26" s="23">
        <f t="shared" si="5"/>
        <v>3.031793</v>
      </c>
      <c r="AM26" s="23">
        <f t="shared" si="5"/>
        <v>2.8202989999999999</v>
      </c>
      <c r="AN26" s="23">
        <f t="shared" si="5"/>
        <v>3.670779</v>
      </c>
      <c r="AO26" s="23" t="str">
        <f t="shared" si="2"/>
        <v/>
      </c>
      <c r="AP26" s="34">
        <f t="shared" si="3"/>
        <v>31.301693999999998</v>
      </c>
      <c r="AQ26" s="23" t="str">
        <f t="shared" si="4"/>
        <v>㎥</v>
      </c>
      <c r="AR26" s="35">
        <f>IF($C26="","",$AP26*IF($AQ26="㎥",VLOOKUP('Scope 1'!AQ26,'[1]5-3. Unit Conversion'!$B$5:$J$13,3,FALSE)*VLOOKUP('Scope 1'!AB26,'[1]5-1. Fuel Density'!$B$6:$D$18,3,FALSE)*1000,IF($AQ26="kg",VLOOKUP('Scope 1'!AQ26,'[1]5-3. Unit Conversion'!$B$16:$G$21,3,FALSE),0)))</f>
        <v>23194.555253999999</v>
      </c>
      <c r="AS26" s="35">
        <f>IFERROR(IF($AB26="","",IF(VLOOKUP($AB26,'[1]5-1. Fuel Density'!$B$6:$G$19,6,0)="Use of other GHGs",0,IF($AB26="Industrial Wastes",$AR26*'[1]5-4. Calorific&amp;Emission factor'!$R$75,$AR26*VLOOKUP($AB26,'[1]5-4. Calorific&amp;Emission factor'!$P$9:$R$74,3,FALSE)))),0)</f>
        <v>1027518.7977521999</v>
      </c>
      <c r="AT26" s="32">
        <f>IF($AB26="","",IF(OR($AB26="Hydrofluorocarbons(HFCs)",$AB26="ETC"),$AR26*VLOOKUP($J26,'[1]5-4. Calorific&amp;Emission factor'!$B$10:$D$14,3,0)/1000,IF(VLOOKUP($AB26,'[1]5-1. Fuel Density'!$B$6:$G$19,6,0)="Use of other GHGs",$AU26/1000,(($AU26*'[1]5-4. Calorific&amp;Emission factor'!$D$7)+($AV26*'[1]5-4. Calorific&amp;Emission factor'!$D$8)+($AW26*'[1]5-4. Calorific&amp;Emission factor'!$D$9))/1000)))</f>
        <v>71.458589285917185</v>
      </c>
      <c r="AU26" s="33">
        <f>IF($AB26="","",IF(VLOOKUP($AB26,'[1]5-1. Fuel Density'!$B$6:$G$19,6,0)="Use of other GHGs",$AR26*VLOOKUP($AB26,'[1]5-4. Calorific&amp;Emission factor'!$O$9:$Y$74,5,FALSE)/1000000,$AS26*VLOOKUP($AB26,'[1]5-4. Calorific&amp;Emission factor'!$P$9:$Y$74,4,FALSE)/1000000))</f>
        <v>71207.052684227441</v>
      </c>
      <c r="AV26" s="33">
        <f>IF($AB26="","",IF(VLOOKUP($AB26,'[1]5-1. Fuel Density'!$B$6:$G$19,6,0)="Use of other GHGs",0,$AS26*VLOOKUP($AB26,'[1]5-4. Calorific&amp;Emission factor'!$P$9:$Y$74,6,FALSE)/1000000))</f>
        <v>3.0825563932566</v>
      </c>
      <c r="AW26" s="33">
        <f>IF($AB26="","",IF(VLOOKUP($AB26,'[1]5-1. Fuel Density'!$B$6:$G$19,6,0)="Use of other GHGs",0,$AS26*VLOOKUP($AB26,'[1]5-4. Calorific&amp;Emission factor'!$P$9:$Y$74,9,FALSE)/1000000))</f>
        <v>0.61651127865131994</v>
      </c>
    </row>
    <row r="27" spans="2:49">
      <c r="B27" s="23">
        <v>22</v>
      </c>
      <c r="C27" s="23" t="s">
        <v>94</v>
      </c>
      <c r="D27" s="23" t="s">
        <v>94</v>
      </c>
      <c r="E27" s="24" t="s">
        <v>95</v>
      </c>
      <c r="F27" s="24" t="s">
        <v>42</v>
      </c>
      <c r="G27" s="24" t="s">
        <v>72</v>
      </c>
      <c r="H27" s="24" t="s">
        <v>96</v>
      </c>
      <c r="I27" s="24" t="s">
        <v>62</v>
      </c>
      <c r="J27" s="24"/>
      <c r="K27" s="36">
        <v>1.4200000000000002</v>
      </c>
      <c r="L27" s="27">
        <v>7.0000000000000007E-2</v>
      </c>
      <c r="M27" s="27">
        <v>0.11</v>
      </c>
      <c r="N27" s="27">
        <v>0.18</v>
      </c>
      <c r="O27" s="27">
        <v>0.08</v>
      </c>
      <c r="P27" s="27">
        <v>0.12</v>
      </c>
      <c r="Q27" s="27">
        <v>0.06</v>
      </c>
      <c r="R27" s="27">
        <v>0.15</v>
      </c>
      <c r="S27" s="27">
        <v>0.15</v>
      </c>
      <c r="T27" s="27">
        <v>0.06</v>
      </c>
      <c r="U27" s="27">
        <v>0.05</v>
      </c>
      <c r="V27" s="27">
        <v>0.15</v>
      </c>
      <c r="W27" s="27">
        <v>0.24</v>
      </c>
      <c r="X27" s="28" t="s">
        <v>46</v>
      </c>
      <c r="Y27" s="23">
        <v>2022</v>
      </c>
      <c r="Z27" s="23" t="str">
        <f>VLOOKUP($E27,'[1]5-2. Emission Facility'!$B$7:$D$16,2,0)</f>
        <v>Power Generator</v>
      </c>
      <c r="AA27" s="23" t="str">
        <f>VLOOKUP($Z27,'[1]5-2. Emission Facility'!$C$7:$D$16,2,0)</f>
        <v>Stationary Combustion</v>
      </c>
      <c r="AB27" s="23" t="str">
        <f>IF($C27="","",IF(VLOOKUP($C27,'[1]1. General Facility Information'!$C$7:$E$13,3,0)="Korea",'Scope 1'!$I27,INDEX('[1]5-1. Fuel Density'!$B$6:$B$18,MATCH('Scope 1'!$I27,'[1]5-1. Fuel Density'!$C$6:$C$18,0))))</f>
        <v>Biodiesel</v>
      </c>
      <c r="AC27" s="23">
        <f t="shared" si="1"/>
        <v>7.0000000000000007E-2</v>
      </c>
      <c r="AD27" s="23">
        <f t="shared" si="5"/>
        <v>0.11</v>
      </c>
      <c r="AE27" s="23">
        <f t="shared" si="5"/>
        <v>0.18</v>
      </c>
      <c r="AF27" s="23">
        <f t="shared" si="5"/>
        <v>0.08</v>
      </c>
      <c r="AG27" s="23">
        <f t="shared" si="5"/>
        <v>0.12</v>
      </c>
      <c r="AH27" s="23">
        <f t="shared" si="5"/>
        <v>0.06</v>
      </c>
      <c r="AI27" s="23">
        <f t="shared" si="5"/>
        <v>0.15</v>
      </c>
      <c r="AJ27" s="23">
        <f t="shared" si="5"/>
        <v>0.15</v>
      </c>
      <c r="AK27" s="23">
        <f t="shared" si="5"/>
        <v>0.06</v>
      </c>
      <c r="AL27" s="23">
        <f t="shared" si="5"/>
        <v>0.05</v>
      </c>
      <c r="AM27" s="23">
        <f t="shared" si="5"/>
        <v>0.15</v>
      </c>
      <c r="AN27" s="23">
        <f t="shared" si="5"/>
        <v>0.24</v>
      </c>
      <c r="AO27" s="23" t="str">
        <f t="shared" si="2"/>
        <v/>
      </c>
      <c r="AP27" s="34">
        <f t="shared" si="3"/>
        <v>1.4200000000000002</v>
      </c>
      <c r="AQ27" s="23" t="str">
        <f t="shared" si="4"/>
        <v>㎥</v>
      </c>
      <c r="AR27" s="35">
        <f>IF($C27="","",$AP27*IF($AQ27="㎥",VLOOKUP('Scope 1'!AQ27,'[1]5-3. Unit Conversion'!$B$5:$J$13,3,FALSE)*VLOOKUP('Scope 1'!AB27,'[1]5-1. Fuel Density'!$B$6:$D$18,3,FALSE)*1000,IF($AQ27="kg",VLOOKUP('Scope 1'!AQ27,'[1]5-3. Unit Conversion'!$B$16:$G$21,3,FALSE),0)))</f>
        <v>1199.9000000000001</v>
      </c>
      <c r="AS27" s="35">
        <f>IFERROR(IF($AB27="","",IF(VLOOKUP($AB27,'[1]5-1. Fuel Density'!$B$6:$G$19,6,0)="Use of other GHGs",0,IF($AB27="Industrial Wastes",$AR27*'[1]5-4. Calorific&amp;Emission factor'!$R$75,$AR27*VLOOKUP($AB27,'[1]5-4. Calorific&amp;Emission factor'!$P$9:$R$74,3,FALSE)))),0)</f>
        <v>32397.300000000003</v>
      </c>
      <c r="AT27" s="32">
        <f>IF($AB27="","",IF(OR($AB27="Hydrofluorocarbons(HFCs)",$AB27="ETC"),$AR27*VLOOKUP($J27,'[1]5-4. Calorific&amp;Emission factor'!$B$10:$D$14,3,0)/1000,IF(VLOOKUP($AB27,'[1]5-1. Fuel Density'!$B$6:$G$19,6,0)="Use of other GHGs",$AU27/1000,(($AU27*'[1]5-4. Calorific&amp;Emission factor'!$D$7)+($AV27*'[1]5-4. Calorific&amp;Emission factor'!$D$8)+($AW27*'[1]5-4. Calorific&amp;Emission factor'!$D$9))/1000)))</f>
        <v>2.3016596990400005</v>
      </c>
      <c r="AU27" s="33">
        <f>IF($AB27="","",IF(VLOOKUP($AB27,'[1]5-1. Fuel Density'!$B$6:$G$19,6,0)="Use of other GHGs",$AR27*VLOOKUP($AB27,'[1]5-4. Calorific&amp;Emission factor'!$O$9:$Y$74,5,FALSE)/1000000,$AS27*VLOOKUP($AB27,'[1]5-4. Calorific&amp;Emission factor'!$P$9:$Y$74,4,FALSE)/1000000))</f>
        <v>2293.7288400000002</v>
      </c>
      <c r="AV27" s="33">
        <f>IF($AB27="","",IF(VLOOKUP($AB27,'[1]5-1. Fuel Density'!$B$6:$G$19,6,0)="Use of other GHGs",0,$AS27*VLOOKUP($AB27,'[1]5-4. Calorific&amp;Emission factor'!$P$9:$Y$74,6,FALSE)/1000000))</f>
        <v>9.7191900000000012E-2</v>
      </c>
      <c r="AW27" s="33">
        <f>IF($AB27="","",IF(VLOOKUP($AB27,'[1]5-1. Fuel Density'!$B$6:$G$19,6,0)="Use of other GHGs",0,$AS27*VLOOKUP($AB27,'[1]5-4. Calorific&amp;Emission factor'!$P$9:$Y$74,9,FALSE)/1000000))</f>
        <v>1.9438380000000002E-2</v>
      </c>
    </row>
    <row r="28" spans="2:49">
      <c r="B28" s="23">
        <v>23</v>
      </c>
      <c r="C28" s="23" t="s">
        <v>94</v>
      </c>
      <c r="D28" s="23" t="s">
        <v>94</v>
      </c>
      <c r="E28" s="24" t="s">
        <v>41</v>
      </c>
      <c r="F28" s="24" t="s">
        <v>42</v>
      </c>
      <c r="G28" s="24" t="s">
        <v>43</v>
      </c>
      <c r="H28" s="24" t="s">
        <v>97</v>
      </c>
      <c r="I28" s="24" t="s">
        <v>62</v>
      </c>
      <c r="J28" s="24"/>
      <c r="K28" s="36">
        <v>11.661660388349512</v>
      </c>
      <c r="L28" s="27">
        <v>2.135456504854369</v>
      </c>
      <c r="M28" s="27">
        <v>0.54084038834951453</v>
      </c>
      <c r="N28" s="27">
        <v>0.9851803883495146</v>
      </c>
      <c r="O28" s="27">
        <v>0.68790543689320383</v>
      </c>
      <c r="P28" s="27">
        <v>1.0375205825242717</v>
      </c>
      <c r="Q28" s="27">
        <v>0.79520834951456321</v>
      </c>
      <c r="R28" s="27">
        <v>1.1862481553398061</v>
      </c>
      <c r="S28" s="27">
        <v>1.0796805825242699</v>
      </c>
      <c r="T28" s="27">
        <v>1.0168199999999998</v>
      </c>
      <c r="U28" s="27">
        <v>0.78422000000000003</v>
      </c>
      <c r="V28" s="27">
        <v>0.46429000000000004</v>
      </c>
      <c r="W28" s="27">
        <v>0.94828999999999997</v>
      </c>
      <c r="X28" s="28" t="s">
        <v>46</v>
      </c>
      <c r="Y28" s="23">
        <v>2022</v>
      </c>
      <c r="Z28" s="23" t="str">
        <f>VLOOKUP($E28,'[1]5-2. Emission Facility'!$B$7:$D$16,2,0)</f>
        <v>Vehicle</v>
      </c>
      <c r="AA28" s="23" t="str">
        <f>VLOOKUP($Z28,'[1]5-2. Emission Facility'!$C$7:$D$16,2,0)</f>
        <v>Mobile combustion</v>
      </c>
      <c r="AB28" s="23" t="str">
        <f>IF($C28="","",IF(VLOOKUP($C28,'[1]1. General Facility Information'!$C$7:$E$13,3,0)="Korea",'Scope 1'!$I28,INDEX('[1]5-1. Fuel Density'!$B$6:$B$18,MATCH('Scope 1'!$I28,'[1]5-1. Fuel Density'!$C$6:$C$18,0))))</f>
        <v>Biodiesel</v>
      </c>
      <c r="AC28" s="23">
        <f t="shared" si="1"/>
        <v>2.135456504854369</v>
      </c>
      <c r="AD28" s="23">
        <f t="shared" si="5"/>
        <v>0.54084038834951453</v>
      </c>
      <c r="AE28" s="23">
        <f t="shared" si="5"/>
        <v>0.9851803883495146</v>
      </c>
      <c r="AF28" s="23">
        <f t="shared" si="5"/>
        <v>0.68790543689320383</v>
      </c>
      <c r="AG28" s="23">
        <f t="shared" si="5"/>
        <v>1.0375205825242717</v>
      </c>
      <c r="AH28" s="23">
        <f t="shared" si="5"/>
        <v>0.79520834951456321</v>
      </c>
      <c r="AI28" s="23">
        <f t="shared" si="5"/>
        <v>1.1862481553398061</v>
      </c>
      <c r="AJ28" s="23">
        <f t="shared" si="5"/>
        <v>1.0796805825242699</v>
      </c>
      <c r="AK28" s="23">
        <f t="shared" si="5"/>
        <v>1.0168199999999998</v>
      </c>
      <c r="AL28" s="23">
        <f t="shared" si="5"/>
        <v>0.78422000000000003</v>
      </c>
      <c r="AM28" s="23">
        <f t="shared" si="5"/>
        <v>0.46429000000000004</v>
      </c>
      <c r="AN28" s="23">
        <f t="shared" si="5"/>
        <v>0.94828999999999997</v>
      </c>
      <c r="AO28" s="23" t="str">
        <f t="shared" si="2"/>
        <v/>
      </c>
      <c r="AP28" s="34">
        <f t="shared" si="3"/>
        <v>11.661660388349512</v>
      </c>
      <c r="AQ28" s="23" t="str">
        <f t="shared" si="4"/>
        <v>㎥</v>
      </c>
      <c r="AR28" s="35">
        <f>IF($C28="","",$AP28*IF($AQ28="㎥",VLOOKUP('Scope 1'!AQ28,'[1]5-3. Unit Conversion'!$B$5:$J$13,3,FALSE)*VLOOKUP('Scope 1'!AB28,'[1]5-1. Fuel Density'!$B$6:$D$18,3,FALSE)*1000,IF($AQ28="kg",VLOOKUP('Scope 1'!AQ28,'[1]5-3. Unit Conversion'!$B$16:$G$21,3,FALSE),0)))</f>
        <v>9854.1030281553376</v>
      </c>
      <c r="AS28" s="35">
        <f>IFERROR(IF($AB28="","",IF(VLOOKUP($AB28,'[1]5-1. Fuel Density'!$B$6:$G$19,6,0)="Use of other GHGs",0,IF($AB28="Industrial Wastes",$AR28*'[1]5-4. Calorific&amp;Emission factor'!$R$75,$AR28*VLOOKUP($AB28,'[1]5-4. Calorific&amp;Emission factor'!$P$9:$R$74,3,FALSE)))),0)</f>
        <v>266060.78176019411</v>
      </c>
      <c r="AT28" s="32">
        <f>IF($AB28="","",IF(OR($AB28="Hydrofluorocarbons(HFCs)",$AB28="ETC"),$AR28*VLOOKUP($J28,'[1]5-4. Calorific&amp;Emission factor'!$B$10:$D$14,3,0)/1000,IF(VLOOKUP($AB28,'[1]5-1. Fuel Density'!$B$6:$G$19,6,0)="Use of other GHGs",$AU28/1000,(($AU28*'[1]5-4. Calorific&amp;Emission factor'!$D$7)+($AV28*'[1]5-4. Calorific&amp;Emission factor'!$D$8)+($AW28*'[1]5-4. Calorific&amp;Emission factor'!$D$9))/1000)))</f>
        <v>18.902235027996639</v>
      </c>
      <c r="AU28" s="33">
        <f>IF($AB28="","",IF(VLOOKUP($AB28,'[1]5-1. Fuel Density'!$B$6:$G$19,6,0)="Use of other GHGs",$AR28*VLOOKUP($AB28,'[1]5-4. Calorific&amp;Emission factor'!$O$9:$Y$74,5,FALSE)/1000000,$AS28*VLOOKUP($AB28,'[1]5-4. Calorific&amp;Emission factor'!$P$9:$Y$74,4,FALSE)/1000000))</f>
        <v>18837.103348621742</v>
      </c>
      <c r="AV28" s="33">
        <f>IF($AB28="","",IF(VLOOKUP($AB28,'[1]5-1. Fuel Density'!$B$6:$G$19,6,0)="Use of other GHGs",0,$AS28*VLOOKUP($AB28,'[1]5-4. Calorific&amp;Emission factor'!$P$9:$Y$74,6,FALSE)/1000000))</f>
        <v>0.79818234528058229</v>
      </c>
      <c r="AW28" s="33">
        <f>IF($AB28="","",IF(VLOOKUP($AB28,'[1]5-1. Fuel Density'!$B$6:$G$19,6,0)="Use of other GHGs",0,$AS28*VLOOKUP($AB28,'[1]5-4. Calorific&amp;Emission factor'!$P$9:$Y$74,9,FALSE)/1000000))</f>
        <v>0.15963646905611645</v>
      </c>
    </row>
    <row r="29" spans="2:49">
      <c r="B29" s="23">
        <v>24</v>
      </c>
      <c r="C29" s="23" t="s">
        <v>94</v>
      </c>
      <c r="D29" s="23" t="s">
        <v>94</v>
      </c>
      <c r="E29" s="24" t="s">
        <v>41</v>
      </c>
      <c r="F29" s="24" t="s">
        <v>42</v>
      </c>
      <c r="G29" s="24" t="s">
        <v>43</v>
      </c>
      <c r="H29" s="24" t="s">
        <v>98</v>
      </c>
      <c r="I29" s="24" t="s">
        <v>51</v>
      </c>
      <c r="J29" s="24"/>
      <c r="K29" s="36">
        <v>18.793474250271693</v>
      </c>
      <c r="L29" s="27">
        <v>1.2831707737186102</v>
      </c>
      <c r="M29" s="27">
        <v>0.41840650658410733</v>
      </c>
      <c r="N29" s="27">
        <v>1.1074313210870315</v>
      </c>
      <c r="O29" s="27">
        <v>1.7907773505882356</v>
      </c>
      <c r="P29" s="27">
        <v>1.8222802718954245</v>
      </c>
      <c r="Q29" s="27">
        <v>1.6087826949019606</v>
      </c>
      <c r="R29" s="27">
        <v>1.6248133427450979</v>
      </c>
      <c r="S29" s="27">
        <v>1.9879198614379083</v>
      </c>
      <c r="T29" s="27">
        <v>2.0080565172413793</v>
      </c>
      <c r="U29" s="27">
        <v>2.1341000000000001</v>
      </c>
      <c r="V29" s="27">
        <v>1.5360799999999999</v>
      </c>
      <c r="W29" s="27">
        <v>1.4716556100719427</v>
      </c>
      <c r="X29" s="28" t="s">
        <v>46</v>
      </c>
      <c r="Y29" s="23">
        <v>2022</v>
      </c>
      <c r="Z29" s="23" t="str">
        <f>VLOOKUP($E29,'[1]5-2. Emission Facility'!$B$7:$D$16,2,0)</f>
        <v>Vehicle</v>
      </c>
      <c r="AA29" s="23" t="str">
        <f>VLOOKUP($Z29,'[1]5-2. Emission Facility'!$C$7:$D$16,2,0)</f>
        <v>Mobile combustion</v>
      </c>
      <c r="AB29" s="23" t="str">
        <f>IF($C29="","",IF(VLOOKUP($C29,'[1]1. General Facility Information'!$C$7:$E$13,3,0)="Korea",'Scope 1'!$I29,INDEX('[1]5-1. Fuel Density'!$B$6:$B$18,MATCH('Scope 1'!$I29,'[1]5-1. Fuel Density'!$C$6:$C$18,0))))</f>
        <v>Automotive gasoline (petrol)</v>
      </c>
      <c r="AC29" s="23">
        <f t="shared" si="1"/>
        <v>1.2831707737186102</v>
      </c>
      <c r="AD29" s="23">
        <f t="shared" si="5"/>
        <v>0.41840650658410733</v>
      </c>
      <c r="AE29" s="23">
        <f t="shared" si="5"/>
        <v>1.1074313210870315</v>
      </c>
      <c r="AF29" s="23">
        <f t="shared" si="5"/>
        <v>1.7907773505882356</v>
      </c>
      <c r="AG29" s="23">
        <f t="shared" si="5"/>
        <v>1.8222802718954245</v>
      </c>
      <c r="AH29" s="23">
        <f t="shared" si="5"/>
        <v>1.6087826949019606</v>
      </c>
      <c r="AI29" s="23">
        <f t="shared" si="5"/>
        <v>1.6248133427450979</v>
      </c>
      <c r="AJ29" s="23">
        <f t="shared" si="5"/>
        <v>1.9879198614379083</v>
      </c>
      <c r="AK29" s="23">
        <f t="shared" si="5"/>
        <v>2.0080565172413793</v>
      </c>
      <c r="AL29" s="23">
        <f t="shared" si="5"/>
        <v>2.1341000000000001</v>
      </c>
      <c r="AM29" s="23">
        <f t="shared" si="5"/>
        <v>1.5360799999999999</v>
      </c>
      <c r="AN29" s="23">
        <f t="shared" si="5"/>
        <v>1.4716556100719427</v>
      </c>
      <c r="AO29" s="23" t="str">
        <f t="shared" si="2"/>
        <v/>
      </c>
      <c r="AP29" s="34">
        <f t="shared" si="3"/>
        <v>18.793474250271693</v>
      </c>
      <c r="AQ29" s="23" t="str">
        <f t="shared" si="4"/>
        <v>㎥</v>
      </c>
      <c r="AR29" s="35">
        <f>IF($C29="","",$AP29*IF($AQ29="㎥",VLOOKUP('Scope 1'!AQ29,'[1]5-3. Unit Conversion'!$B$5:$J$13,3,FALSE)*VLOOKUP('Scope 1'!AB29,'[1]5-1. Fuel Density'!$B$6:$D$18,3,FALSE)*1000,IF($AQ29="kg",VLOOKUP('Scope 1'!AQ29,'[1]5-3. Unit Conversion'!$B$16:$G$21,3,FALSE),0)))</f>
        <v>13925.964419451324</v>
      </c>
      <c r="AS29" s="35">
        <f>IFERROR(IF($AB29="","",IF(VLOOKUP($AB29,'[1]5-1. Fuel Density'!$B$6:$G$19,6,0)="Use of other GHGs",0,IF($AB29="Industrial Wastes",$AR29*'[1]5-4. Calorific&amp;Emission factor'!$R$75,$AR29*VLOOKUP($AB29,'[1]5-4. Calorific&amp;Emission factor'!$P$9:$R$74,3,FALSE)))),0)</f>
        <v>616920.22378169361</v>
      </c>
      <c r="AT29" s="32">
        <f>IF($AB29="","",IF(OR($AB29="Hydrofluorocarbons(HFCs)",$AB29="ETC"),$AR29*VLOOKUP($J29,'[1]5-4. Calorific&amp;Emission factor'!$B$10:$D$14,3,0)/1000,IF(VLOOKUP($AB29,'[1]5-1. Fuel Density'!$B$6:$G$19,6,0)="Use of other GHGs",$AU29/1000,(($AU29*'[1]5-4. Calorific&amp;Emission factor'!$D$7)+($AV29*'[1]5-4. Calorific&amp;Emission factor'!$D$8)+($AW29*'[1]5-4. Calorific&amp;Emission factor'!$D$9))/1000)))</f>
        <v>42.903593578853119</v>
      </c>
      <c r="AU29" s="33">
        <f>IF($AB29="","",IF(VLOOKUP($AB29,'[1]5-1. Fuel Density'!$B$6:$G$19,6,0)="Use of other GHGs",$AR29*VLOOKUP($AB29,'[1]5-4. Calorific&amp;Emission factor'!$O$9:$Y$74,5,FALSE)/1000000,$AS29*VLOOKUP($AB29,'[1]5-4. Calorific&amp;Emission factor'!$P$9:$Y$74,4,FALSE)/1000000))</f>
        <v>42752.571508071363</v>
      </c>
      <c r="AV29" s="33">
        <f>IF($AB29="","",IF(VLOOKUP($AB29,'[1]5-1. Fuel Density'!$B$6:$G$19,6,0)="Use of other GHGs",0,$AS29*VLOOKUP($AB29,'[1]5-4. Calorific&amp;Emission factor'!$P$9:$Y$74,6,FALSE)/1000000))</f>
        <v>1.8507606713450808</v>
      </c>
      <c r="AW29" s="33">
        <f>IF($AB29="","",IF(VLOOKUP($AB29,'[1]5-1. Fuel Density'!$B$6:$G$19,6,0)="Use of other GHGs",0,$AS29*VLOOKUP($AB29,'[1]5-4. Calorific&amp;Emission factor'!$P$9:$Y$74,9,FALSE)/1000000))</f>
        <v>0.37015213426901616</v>
      </c>
    </row>
    <row r="30" spans="2:49">
      <c r="B30" s="23">
        <v>25</v>
      </c>
      <c r="C30" s="23" t="s">
        <v>39</v>
      </c>
      <c r="D30" s="23" t="s">
        <v>40</v>
      </c>
      <c r="E30" s="24" t="s">
        <v>99</v>
      </c>
      <c r="F30" s="24" t="s">
        <v>100</v>
      </c>
      <c r="G30" s="24" t="s">
        <v>101</v>
      </c>
      <c r="H30" s="24" t="s">
        <v>44</v>
      </c>
      <c r="I30" s="24" t="s">
        <v>51</v>
      </c>
      <c r="J30" s="24"/>
      <c r="K30" s="36">
        <v>26.263204664694634</v>
      </c>
      <c r="L30" s="27">
        <v>1.8777100147293333</v>
      </c>
      <c r="M30" s="27">
        <v>1.953645205662881</v>
      </c>
      <c r="N30" s="27">
        <v>2.2970699582466008</v>
      </c>
      <c r="O30" s="27">
        <v>2.0591486201901423</v>
      </c>
      <c r="P30" s="27">
        <v>2.1589428964442661</v>
      </c>
      <c r="Q30" s="27">
        <v>2.1513225967449388</v>
      </c>
      <c r="R30" s="27">
        <v>2.1445178882274889</v>
      </c>
      <c r="S30" s="27">
        <v>2.3508502842396135</v>
      </c>
      <c r="T30" s="27">
        <v>2.3506676891988945</v>
      </c>
      <c r="U30" s="27">
        <v>2.4005161353150979</v>
      </c>
      <c r="V30" s="27">
        <v>2.298275085515344</v>
      </c>
      <c r="W30" s="27">
        <v>2.2205382901800386</v>
      </c>
      <c r="X30" s="28" t="s">
        <v>46</v>
      </c>
      <c r="Y30" s="23">
        <v>2023</v>
      </c>
      <c r="Z30" s="23" t="str">
        <f>VLOOKUP($E30,'[1]5-2. Emission Facility'!$B$7:$D$16,2,0)</f>
        <v>Vehicle</v>
      </c>
      <c r="AA30" s="23" t="str">
        <f>VLOOKUP($Z30,'[1]5-2. Emission Facility'!$C$7:$D$16,2,0)</f>
        <v>Mobile combustion</v>
      </c>
      <c r="AB30" s="23" t="str">
        <f>IF($C30="","",IF(VLOOKUP($C30,'[1]1. General Facility Information'!$C$7:$E$13,3,0)="Korea",'Scope 1'!$I30,INDEX('[1]5-1. Fuel Density'!$B$6:$B$18,MATCH('Scope 1'!$I30,'[1]5-1. Fuel Density'!$C$6:$C$18,0))))</f>
        <v>Automotive gasoline (petrol)</v>
      </c>
      <c r="AC30" s="23">
        <f t="shared" si="1"/>
        <v>1.8777100147293333</v>
      </c>
      <c r="AD30" s="23">
        <f t="shared" si="5"/>
        <v>1.953645205662881</v>
      </c>
      <c r="AE30" s="23">
        <f t="shared" si="5"/>
        <v>2.2970699582466008</v>
      </c>
      <c r="AF30" s="23">
        <f t="shared" si="5"/>
        <v>2.0591486201901423</v>
      </c>
      <c r="AG30" s="23">
        <f t="shared" si="5"/>
        <v>2.1589428964442661</v>
      </c>
      <c r="AH30" s="23">
        <f t="shared" si="5"/>
        <v>2.1513225967449388</v>
      </c>
      <c r="AI30" s="23">
        <f t="shared" si="5"/>
        <v>2.1445178882274889</v>
      </c>
      <c r="AJ30" s="23">
        <f t="shared" si="5"/>
        <v>2.3508502842396135</v>
      </c>
      <c r="AK30" s="23">
        <f t="shared" si="5"/>
        <v>2.3506676891988945</v>
      </c>
      <c r="AL30" s="23">
        <f t="shared" si="5"/>
        <v>2.4005161353150979</v>
      </c>
      <c r="AM30" s="23">
        <f t="shared" si="5"/>
        <v>2.298275085515344</v>
      </c>
      <c r="AN30" s="23">
        <f t="shared" si="5"/>
        <v>2.2205382901800386</v>
      </c>
      <c r="AO30" s="23" t="str">
        <f t="shared" si="2"/>
        <v/>
      </c>
      <c r="AP30" s="29">
        <f t="shared" si="3"/>
        <v>26.263204664694634</v>
      </c>
      <c r="AQ30" s="23" t="str">
        <f t="shared" si="4"/>
        <v>㎥</v>
      </c>
      <c r="AR30" s="35">
        <f>IF($C30="","",$AP30*IF($AQ30="㎥",VLOOKUP('Scope 1'!AQ30,'[1]5-3. Unit Conversion'!$B$5:$J$13,3,FALSE)*VLOOKUP('Scope 1'!AB30,'[1]5-1. Fuel Density'!$B$6:$D$18,3,FALSE)*1000,IF($AQ30="kg",VLOOKUP('Scope 1'!AQ30,'[1]5-3. Unit Conversion'!$B$16:$G$21,3,FALSE),0)))</f>
        <v>19461.034656538723</v>
      </c>
      <c r="AS30" s="35">
        <f>IFERROR(IF($AB30="","",IF(VLOOKUP($AB30,'[1]5-1. Fuel Density'!$B$6:$G$19,6,0)="Use of other GHGs",0,IF($AB30="Industrial Wastes",$AR30*'[1]5-4. Calorific&amp;Emission factor'!$R$75,$AR30*VLOOKUP($AB30,'[1]5-4. Calorific&amp;Emission factor'!$P$9:$R$74,3,FALSE)))),0)</f>
        <v>862123.83528466534</v>
      </c>
      <c r="AT30" s="32">
        <f>IF($AB30="","",IF(OR($AB30="Hydrofluorocarbons(HFCs)",$AB30="ETC"),$AR30*VLOOKUP($J30,'[1]5-4. Calorific&amp;Emission factor'!$B$10:$D$14,3,0)/1000,IF(VLOOKUP($AB30,'[1]5-1. Fuel Density'!$B$6:$G$19,6,0)="Use of other GHGs",$AU30/1000,(($AU30*'[1]5-4. Calorific&amp;Emission factor'!$D$7)+($AV30*'[1]5-4. Calorific&amp;Emission factor'!$D$8)+($AW30*'[1]5-4. Calorific&amp;Emission factor'!$D$9))/1000)))</f>
        <v>59.956229700104998</v>
      </c>
      <c r="AU30" s="33">
        <f>IF($AB30="","",IF(VLOOKUP($AB30,'[1]5-1. Fuel Density'!$B$6:$G$19,6,0)="Use of other GHGs",$AR30*VLOOKUP($AB30,'[1]5-4. Calorific&amp;Emission factor'!$O$9:$Y$74,5,FALSE)/1000000,$AS30*VLOOKUP($AB30,'[1]5-4. Calorific&amp;Emission factor'!$P$9:$Y$74,4,FALSE)/1000000))</f>
        <v>59745.181785227309</v>
      </c>
      <c r="AV30" s="33">
        <f>IF($AB30="","",IF(VLOOKUP($AB30,'[1]5-1. Fuel Density'!$B$6:$G$19,6,0)="Use of other GHGs",0,$AS30*VLOOKUP($AB30,'[1]5-4. Calorific&amp;Emission factor'!$P$9:$Y$74,6,FALSE)/1000000))</f>
        <v>2.5863715058539962</v>
      </c>
      <c r="AW30" s="33">
        <f>IF($AB30="","",IF(VLOOKUP($AB30,'[1]5-1. Fuel Density'!$B$6:$G$19,6,0)="Use of other GHGs",0,$AS30*VLOOKUP($AB30,'[1]5-4. Calorific&amp;Emission factor'!$P$9:$Y$74,9,FALSE)/1000000))</f>
        <v>0.5172743011707992</v>
      </c>
    </row>
    <row r="31" spans="2:49">
      <c r="B31" s="23">
        <v>26</v>
      </c>
      <c r="C31" s="23" t="s">
        <v>53</v>
      </c>
      <c r="D31" s="23" t="s">
        <v>48</v>
      </c>
      <c r="E31" s="24" t="s">
        <v>41</v>
      </c>
      <c r="F31" s="24" t="s">
        <v>42</v>
      </c>
      <c r="G31" s="24" t="s">
        <v>49</v>
      </c>
      <c r="H31" s="24" t="s">
        <v>50</v>
      </c>
      <c r="I31" s="24" t="s">
        <v>51</v>
      </c>
      <c r="J31" s="24" t="s">
        <v>52</v>
      </c>
      <c r="K31" s="36">
        <v>28.044400000000003</v>
      </c>
      <c r="L31" s="27">
        <v>2.3450199999999999</v>
      </c>
      <c r="M31" s="27">
        <v>2.4823400000000002</v>
      </c>
      <c r="N31" s="27">
        <v>2.4934799999999999</v>
      </c>
      <c r="O31" s="27">
        <v>1.21122</v>
      </c>
      <c r="P31" s="27">
        <v>2.5628299999999999</v>
      </c>
      <c r="Q31" s="27">
        <v>2.2666999999999997</v>
      </c>
      <c r="R31" s="27">
        <v>2.4434200000000001</v>
      </c>
      <c r="S31" s="27">
        <v>2.88951</v>
      </c>
      <c r="T31" s="27">
        <v>2.7376499999999999</v>
      </c>
      <c r="U31" s="27">
        <v>2.2579400000000001</v>
      </c>
      <c r="V31" s="27">
        <v>2.3437299999999999</v>
      </c>
      <c r="W31" s="27">
        <v>2.0105599999999999</v>
      </c>
      <c r="X31" s="28" t="s">
        <v>46</v>
      </c>
      <c r="Y31" s="23">
        <v>2023</v>
      </c>
      <c r="Z31" s="23" t="str">
        <f>VLOOKUP($E31,'[1]5-2. Emission Facility'!$B$7:$D$16,2,0)</f>
        <v>Vehicle</v>
      </c>
      <c r="AA31" s="23" t="str">
        <f>VLOOKUP($Z31,'[1]5-2. Emission Facility'!$C$7:$D$16,2,0)</f>
        <v>Mobile combustion</v>
      </c>
      <c r="AB31" s="23" t="str">
        <f>IF($C31="","",IF(VLOOKUP($C31,'[1]1. General Facility Information'!$C$7:$E$13,3,0)="Korea",'Scope 1'!$I31,INDEX('[1]5-1. Fuel Density'!$B$6:$B$18,MATCH('Scope 1'!$I31,'[1]5-1. Fuel Density'!$C$6:$C$18,0))))</f>
        <v>Automotive gasoline (petrol)</v>
      </c>
      <c r="AC31" s="23">
        <f t="shared" si="1"/>
        <v>2.3450199999999999</v>
      </c>
      <c r="AD31" s="23">
        <f t="shared" si="5"/>
        <v>2.4823400000000002</v>
      </c>
      <c r="AE31" s="23">
        <f t="shared" si="5"/>
        <v>2.4934799999999999</v>
      </c>
      <c r="AF31" s="23">
        <f t="shared" si="5"/>
        <v>1.21122</v>
      </c>
      <c r="AG31" s="23">
        <f t="shared" si="5"/>
        <v>2.5628299999999999</v>
      </c>
      <c r="AH31" s="23">
        <f t="shared" si="5"/>
        <v>2.2666999999999997</v>
      </c>
      <c r="AI31" s="23">
        <f t="shared" si="5"/>
        <v>2.4434200000000001</v>
      </c>
      <c r="AJ31" s="23">
        <f t="shared" si="5"/>
        <v>2.88951</v>
      </c>
      <c r="AK31" s="23">
        <f t="shared" si="5"/>
        <v>2.7376499999999999</v>
      </c>
      <c r="AL31" s="23">
        <f t="shared" si="5"/>
        <v>2.2579400000000001</v>
      </c>
      <c r="AM31" s="23">
        <f t="shared" si="5"/>
        <v>2.3437299999999999</v>
      </c>
      <c r="AN31" s="23">
        <f t="shared" si="5"/>
        <v>2.0105599999999999</v>
      </c>
      <c r="AO31" s="23" t="str">
        <f t="shared" si="2"/>
        <v/>
      </c>
      <c r="AP31" s="34">
        <f t="shared" si="3"/>
        <v>28.044400000000003</v>
      </c>
      <c r="AQ31" s="23" t="str">
        <f t="shared" si="4"/>
        <v>㎥</v>
      </c>
      <c r="AR31" s="35">
        <f>IF($C31="","",$AP31*IF($AQ31="㎥",VLOOKUP('Scope 1'!AQ31,'[1]5-3. Unit Conversion'!$B$5:$J$13,3,FALSE)*VLOOKUP('Scope 1'!AB31,'[1]5-1. Fuel Density'!$B$6:$D$18,3,FALSE)*1000,IF($AQ31="kg",VLOOKUP('Scope 1'!AQ31,'[1]5-3. Unit Conversion'!$B$16:$G$21,3,FALSE),0)))</f>
        <v>20780.900400000002</v>
      </c>
      <c r="AS31" s="35">
        <f>IFERROR(IF($AB31="","",IF(VLOOKUP($AB31,'[1]5-1. Fuel Density'!$B$6:$G$19,6,0)="Use of other GHGs",0,IF($AB31="Industrial Wastes",$AR31*'[1]5-4. Calorific&amp;Emission factor'!$R$75,$AR31*VLOOKUP($AB31,'[1]5-4. Calorific&amp;Emission factor'!$P$9:$R$74,3,FALSE)))),0)</f>
        <v>920593.88772</v>
      </c>
      <c r="AT31" s="32">
        <f>IF($AB31="","",IF(OR($AB31="Hydrofluorocarbons(HFCs)",$AB31="ETC"),$AR31*VLOOKUP($J31,'[1]5-4. Calorific&amp;Emission factor'!$B$10:$D$14,3,0)/1000,IF(VLOOKUP($AB31,'[1]5-1. Fuel Density'!$B$6:$G$19,6,0)="Use of other GHGs",$AU31/1000,(($AU31*'[1]5-4. Calorific&amp;Emission factor'!$D$7)+($AV31*'[1]5-4. Calorific&amp;Emission factor'!$D$8)+($AW31*'[1]5-4. Calorific&amp;Emission factor'!$D$9))/1000)))</f>
        <v>64.022517802709856</v>
      </c>
      <c r="AU31" s="33">
        <f>IF($AB31="","",IF(VLOOKUP($AB31,'[1]5-1. Fuel Density'!$B$6:$G$19,6,0)="Use of other GHGs",$AR31*VLOOKUP($AB31,'[1]5-4. Calorific&amp;Emission factor'!$O$9:$Y$74,5,FALSE)/1000000,$AS31*VLOOKUP($AB31,'[1]5-4. Calorific&amp;Emission factor'!$P$9:$Y$74,4,FALSE)/1000000))</f>
        <v>63797.156418996005</v>
      </c>
      <c r="AV31" s="33">
        <f>IF($AB31="","",IF(VLOOKUP($AB31,'[1]5-1. Fuel Density'!$B$6:$G$19,6,0)="Use of other GHGs",0,$AS31*VLOOKUP($AB31,'[1]5-4. Calorific&amp;Emission factor'!$P$9:$Y$74,6,FALSE)/1000000))</f>
        <v>2.7617816631599998</v>
      </c>
      <c r="AW31" s="33">
        <f>IF($AB31="","",IF(VLOOKUP($AB31,'[1]5-1. Fuel Density'!$B$6:$G$19,6,0)="Use of other GHGs",0,$AS31*VLOOKUP($AB31,'[1]5-4. Calorific&amp;Emission factor'!$P$9:$Y$74,9,FALSE)/1000000))</f>
        <v>0.55235633263200001</v>
      </c>
    </row>
    <row r="32" spans="2:49">
      <c r="B32" s="23">
        <v>27</v>
      </c>
      <c r="C32" s="23" t="s">
        <v>53</v>
      </c>
      <c r="D32" s="23" t="s">
        <v>48</v>
      </c>
      <c r="E32" s="24" t="s">
        <v>54</v>
      </c>
      <c r="F32" s="24" t="s">
        <v>42</v>
      </c>
      <c r="G32" s="24" t="s">
        <v>55</v>
      </c>
      <c r="H32" s="24" t="s">
        <v>56</v>
      </c>
      <c r="I32" s="24" t="s">
        <v>57</v>
      </c>
      <c r="J32" s="24" t="s">
        <v>58</v>
      </c>
      <c r="K32" s="36">
        <v>311703</v>
      </c>
      <c r="L32" s="27">
        <v>24973</v>
      </c>
      <c r="M32" s="27">
        <v>22164</v>
      </c>
      <c r="N32" s="27">
        <v>28645</v>
      </c>
      <c r="O32" s="27">
        <v>26953</v>
      </c>
      <c r="P32" s="27">
        <v>28481</v>
      </c>
      <c r="Q32" s="27">
        <v>26867</v>
      </c>
      <c r="R32" s="27">
        <v>26050</v>
      </c>
      <c r="S32" s="27">
        <v>25450</v>
      </c>
      <c r="T32" s="27">
        <v>25560</v>
      </c>
      <c r="U32" s="27">
        <v>25150</v>
      </c>
      <c r="V32" s="27">
        <v>25740</v>
      </c>
      <c r="W32" s="27">
        <v>25670</v>
      </c>
      <c r="X32" s="28" t="s">
        <v>59</v>
      </c>
      <c r="Y32" s="23">
        <v>2023</v>
      </c>
      <c r="Z32" s="23" t="str">
        <f>VLOOKUP($E32,'[1]5-2. Emission Facility'!$B$7:$D$16,2,0)</f>
        <v>Boiler</v>
      </c>
      <c r="AA32" s="23" t="str">
        <f>VLOOKUP($Z32,'[1]5-2. Emission Facility'!$C$7:$D$16,2,0)</f>
        <v>Stationary Combustion</v>
      </c>
      <c r="AB32" s="23" t="str">
        <f>IF($C32="","",IF(VLOOKUP($C32,'[1]1. General Facility Information'!$C$7:$E$13,3,0)="Korea",'Scope 1'!$I32,INDEX('[1]5-1. Fuel Density'!$B$6:$B$18,MATCH('Scope 1'!$I32,'[1]5-1. Fuel Density'!$C$6:$C$18,0))))</f>
        <v>Industrial Wastes</v>
      </c>
      <c r="AC32" s="23">
        <f t="shared" si="1"/>
        <v>24973</v>
      </c>
      <c r="AD32" s="23">
        <f t="shared" si="5"/>
        <v>22164</v>
      </c>
      <c r="AE32" s="23">
        <f t="shared" si="5"/>
        <v>28645</v>
      </c>
      <c r="AF32" s="23">
        <f t="shared" si="5"/>
        <v>26953</v>
      </c>
      <c r="AG32" s="23">
        <f t="shared" si="5"/>
        <v>28481</v>
      </c>
      <c r="AH32" s="23">
        <f t="shared" si="5"/>
        <v>26867</v>
      </c>
      <c r="AI32" s="23">
        <f t="shared" si="5"/>
        <v>26050</v>
      </c>
      <c r="AJ32" s="23">
        <f t="shared" si="5"/>
        <v>25450</v>
      </c>
      <c r="AK32" s="23">
        <f t="shared" si="5"/>
        <v>25560</v>
      </c>
      <c r="AL32" s="23">
        <f t="shared" si="5"/>
        <v>25150</v>
      </c>
      <c r="AM32" s="23">
        <f t="shared" si="5"/>
        <v>25740</v>
      </c>
      <c r="AN32" s="23">
        <f t="shared" si="5"/>
        <v>25670</v>
      </c>
      <c r="AO32" s="23" t="str">
        <f t="shared" si="2"/>
        <v/>
      </c>
      <c r="AP32" s="34">
        <f t="shared" si="3"/>
        <v>311703</v>
      </c>
      <c r="AQ32" s="23" t="str">
        <f t="shared" si="4"/>
        <v>kg</v>
      </c>
      <c r="AR32" s="35">
        <f>IF($C32="","",$AP32*IF($AQ32="㎥",VLOOKUP('Scope 1'!AQ32,'[1]5-3. Unit Conversion'!$B$5:$J$13,3,FALSE)*VLOOKUP('Scope 1'!AB32,'[1]5-1. Fuel Density'!$B$6:$D$18,3,FALSE)*1000,IF($AQ32="kg",VLOOKUP('Scope 1'!AQ32,'[1]5-3. Unit Conversion'!$B$16:$G$21,3,FALSE),0)))</f>
        <v>311703</v>
      </c>
      <c r="AS32" s="35">
        <f>IFERROR(IF($AB32="","",IF(VLOOKUP($AB32,'[1]5-1. Fuel Density'!$B$6:$G$19,6,0)="Use of other GHGs",0,IF($AB32="Industrial Wastes",$AR32*'[1]5-4. Calorific&amp;Emission factor'!$R$75,$AR32*VLOOKUP($AB32,'[1]5-4. Calorific&amp;Emission factor'!$P$9:$R$74,3,FALSE)))),0)</f>
        <v>6781664.6431845594</v>
      </c>
      <c r="AT32" s="32">
        <f>IF($AB32="","",IF(OR($AB32="Hydrofluorocarbons(HFCs)",$AB32="ETC"),$AR32*VLOOKUP($J32,'[1]5-4. Calorific&amp;Emission factor'!$B$10:$D$14,3,0)/1000,IF(VLOOKUP($AB32,'[1]5-1. Fuel Density'!$B$6:$G$19,6,0)="Use of other GHGs",$AU32/1000,(($AU32*'[1]5-4. Calorific&amp;Emission factor'!$D$7)+($AV32*'[1]5-4. Calorific&amp;Emission factor'!$D$8)+($AW32*'[1]5-4. Calorific&amp;Emission factor'!$D$9))/1000)))</f>
        <v>982.67677012672902</v>
      </c>
      <c r="AU32" s="33">
        <f>IF($AB32="","",IF(VLOOKUP($AB32,'[1]5-1. Fuel Density'!$B$6:$G$19,6,0)="Use of other GHGs",$AR32*VLOOKUP($AB32,'[1]5-4. Calorific&amp;Emission factor'!$O$9:$Y$74,5,FALSE)/1000000,$AS32*VLOOKUP($AB32,'[1]5-4. Calorific&amp;Emission factor'!$P$9:$Y$74,4,FALSE)/1000000))</f>
        <v>969778.04397539201</v>
      </c>
      <c r="AV32" s="33">
        <f>IF($AB32="","",IF(VLOOKUP($AB32,'[1]5-1. Fuel Density'!$B$6:$G$19,6,0)="Use of other GHGs",0,$AS32*VLOOKUP($AB32,'[1]5-4. Calorific&amp;Emission factor'!$P$9:$Y$74,6,FALSE)/1000000))</f>
        <v>203.44993929553678</v>
      </c>
      <c r="AW32" s="33">
        <f>IF($AB32="","",IF(VLOOKUP($AB32,'[1]5-1. Fuel Density'!$B$6:$G$19,6,0)="Use of other GHGs",0,$AS32*VLOOKUP($AB32,'[1]5-4. Calorific&amp;Emission factor'!$P$9:$Y$74,9,FALSE)/1000000))</f>
        <v>27.126658572738236</v>
      </c>
    </row>
    <row r="33" spans="2:49">
      <c r="B33" s="23">
        <v>28</v>
      </c>
      <c r="C33" s="23" t="s">
        <v>53</v>
      </c>
      <c r="D33" s="23" t="s">
        <v>48</v>
      </c>
      <c r="E33" s="24" t="s">
        <v>60</v>
      </c>
      <c r="F33" s="24" t="s">
        <v>42</v>
      </c>
      <c r="G33" s="24" t="s">
        <v>49</v>
      </c>
      <c r="H33" s="24" t="s">
        <v>61</v>
      </c>
      <c r="I33" s="24" t="s">
        <v>62</v>
      </c>
      <c r="J33" s="24" t="s">
        <v>63</v>
      </c>
      <c r="K33" s="36">
        <v>1.5400000000000005</v>
      </c>
      <c r="L33" s="27">
        <v>0.13</v>
      </c>
      <c r="M33" s="27">
        <v>0.13</v>
      </c>
      <c r="N33" s="27">
        <v>0.14000000000000001</v>
      </c>
      <c r="O33" s="27">
        <v>0.14000000000000001</v>
      </c>
      <c r="P33" s="27">
        <v>0.12</v>
      </c>
      <c r="Q33" s="27">
        <v>0.12</v>
      </c>
      <c r="R33" s="27">
        <v>0.13</v>
      </c>
      <c r="S33" s="27">
        <v>0.13</v>
      </c>
      <c r="T33" s="27">
        <v>0.14000000000000001</v>
      </c>
      <c r="U33" s="27">
        <v>0.12</v>
      </c>
      <c r="V33" s="27">
        <v>0.12</v>
      </c>
      <c r="W33" s="27">
        <v>0.12</v>
      </c>
      <c r="X33" s="28" t="s">
        <v>46</v>
      </c>
      <c r="Y33" s="23">
        <v>2023</v>
      </c>
      <c r="Z33" s="23" t="str">
        <f>VLOOKUP($E33,'[1]5-2. Emission Facility'!$B$7:$D$16,2,0)</f>
        <v>Forklift</v>
      </c>
      <c r="AA33" s="23" t="str">
        <f>VLOOKUP($Z33,'[1]5-2. Emission Facility'!$C$7:$D$16,2,0)</f>
        <v>Mobile combustion</v>
      </c>
      <c r="AB33" s="23" t="str">
        <f>IF($C33="","",IF(VLOOKUP($C33,'[1]1. General Facility Information'!$C$7:$E$13,3,0)="Korea",'Scope 1'!$I33,INDEX('[1]5-1. Fuel Density'!$B$6:$B$18,MATCH('Scope 1'!$I33,'[1]5-1. Fuel Density'!$C$6:$C$18,0))))</f>
        <v>Biodiesel</v>
      </c>
      <c r="AC33" s="23">
        <f t="shared" si="1"/>
        <v>0.13</v>
      </c>
      <c r="AD33" s="23">
        <f t="shared" si="5"/>
        <v>0.13</v>
      </c>
      <c r="AE33" s="23">
        <f t="shared" si="5"/>
        <v>0.14000000000000001</v>
      </c>
      <c r="AF33" s="23">
        <f t="shared" si="5"/>
        <v>0.14000000000000001</v>
      </c>
      <c r="AG33" s="23">
        <f t="shared" si="5"/>
        <v>0.12</v>
      </c>
      <c r="AH33" s="23">
        <f t="shared" si="5"/>
        <v>0.12</v>
      </c>
      <c r="AI33" s="23">
        <f t="shared" si="5"/>
        <v>0.13</v>
      </c>
      <c r="AJ33" s="23">
        <f t="shared" si="5"/>
        <v>0.13</v>
      </c>
      <c r="AK33" s="23">
        <f t="shared" si="5"/>
        <v>0.14000000000000001</v>
      </c>
      <c r="AL33" s="23">
        <f t="shared" si="5"/>
        <v>0.12</v>
      </c>
      <c r="AM33" s="23">
        <f t="shared" si="5"/>
        <v>0.12</v>
      </c>
      <c r="AN33" s="23">
        <f t="shared" si="5"/>
        <v>0.12</v>
      </c>
      <c r="AO33" s="23" t="str">
        <f t="shared" si="2"/>
        <v/>
      </c>
      <c r="AP33" s="34">
        <f t="shared" si="3"/>
        <v>1.5400000000000005</v>
      </c>
      <c r="AQ33" s="23" t="str">
        <f t="shared" si="4"/>
        <v>㎥</v>
      </c>
      <c r="AR33" s="35">
        <f>IF($C33="","",$AP33*IF($AQ33="㎥",VLOOKUP('Scope 1'!AQ33,'[1]5-3. Unit Conversion'!$B$5:$J$13,3,FALSE)*VLOOKUP('Scope 1'!AB33,'[1]5-1. Fuel Density'!$B$6:$D$18,3,FALSE)*1000,IF($AQ33="kg",VLOOKUP('Scope 1'!AQ33,'[1]5-3. Unit Conversion'!$B$16:$G$21,3,FALSE),0)))</f>
        <v>1301.3000000000004</v>
      </c>
      <c r="AS33" s="35">
        <f>IFERROR(IF($AB33="","",IF(VLOOKUP($AB33,'[1]5-1. Fuel Density'!$B$6:$G$19,6,0)="Use of other GHGs",0,IF($AB33="Industrial Wastes",$AR33*'[1]5-4. Calorific&amp;Emission factor'!$R$75,$AR33*VLOOKUP($AB33,'[1]5-4. Calorific&amp;Emission factor'!$P$9:$R$74,3,FALSE)))),0)</f>
        <v>35135.100000000013</v>
      </c>
      <c r="AT33" s="32">
        <f>IF($AB33="","",IF(OR($AB33="Hydrofluorocarbons(HFCs)",$AB33="ETC"),$AR33*VLOOKUP($J33,'[1]5-4. Calorific&amp;Emission factor'!$B$10:$D$14,3,0)/1000,IF(VLOOKUP($AB33,'[1]5-1. Fuel Density'!$B$6:$G$19,6,0)="Use of other GHGs",$AU33/1000,(($AU33*'[1]5-4. Calorific&amp;Emission factor'!$D$7)+($AV33*'[1]5-4. Calorific&amp;Emission factor'!$D$8)+($AW33*'[1]5-4. Calorific&amp;Emission factor'!$D$9))/1000)))</f>
        <v>2.4961661524800012</v>
      </c>
      <c r="AU33" s="33">
        <f>IF($AB33="","",IF(VLOOKUP($AB33,'[1]5-1. Fuel Density'!$B$6:$G$19,6,0)="Use of other GHGs",$AR33*VLOOKUP($AB33,'[1]5-4. Calorific&amp;Emission factor'!$O$9:$Y$74,5,FALSE)/1000000,$AS33*VLOOKUP($AB33,'[1]5-4. Calorific&amp;Emission factor'!$P$9:$Y$74,4,FALSE)/1000000))</f>
        <v>2487.5650800000008</v>
      </c>
      <c r="AV33" s="33">
        <f>IF($AB33="","",IF(VLOOKUP($AB33,'[1]5-1. Fuel Density'!$B$6:$G$19,6,0)="Use of other GHGs",0,$AS33*VLOOKUP($AB33,'[1]5-4. Calorific&amp;Emission factor'!$P$9:$Y$74,6,FALSE)/1000000))</f>
        <v>0.10540530000000005</v>
      </c>
      <c r="AW33" s="33">
        <f>IF($AB33="","",IF(VLOOKUP($AB33,'[1]5-1. Fuel Density'!$B$6:$G$19,6,0)="Use of other GHGs",0,$AS33*VLOOKUP($AB33,'[1]5-4. Calorific&amp;Emission factor'!$P$9:$Y$74,9,FALSE)/1000000))</f>
        <v>2.1081060000000009E-2</v>
      </c>
    </row>
    <row r="34" spans="2:49">
      <c r="B34" s="23">
        <v>29</v>
      </c>
      <c r="C34" s="23" t="s">
        <v>53</v>
      </c>
      <c r="D34" s="23" t="s">
        <v>48</v>
      </c>
      <c r="E34" s="24" t="s">
        <v>64</v>
      </c>
      <c r="F34" s="24" t="s">
        <v>42</v>
      </c>
      <c r="G34" s="24" t="s">
        <v>65</v>
      </c>
      <c r="H34" s="24" t="s">
        <v>66</v>
      </c>
      <c r="I34" s="24" t="s">
        <v>67</v>
      </c>
      <c r="J34" s="24" t="s">
        <v>68</v>
      </c>
      <c r="K34" s="36">
        <v>264</v>
      </c>
      <c r="L34" s="27">
        <v>36</v>
      </c>
      <c r="M34" s="27">
        <v>24</v>
      </c>
      <c r="N34" s="27">
        <v>24</v>
      </c>
      <c r="O34" s="27">
        <v>12</v>
      </c>
      <c r="P34" s="27">
        <v>24</v>
      </c>
      <c r="Q34" s="27">
        <v>12</v>
      </c>
      <c r="R34" s="27">
        <v>24</v>
      </c>
      <c r="S34" s="27">
        <v>24</v>
      </c>
      <c r="T34" s="27">
        <v>12</v>
      </c>
      <c r="U34" s="27">
        <v>24</v>
      </c>
      <c r="V34" s="27">
        <v>24</v>
      </c>
      <c r="W34" s="27">
        <v>24</v>
      </c>
      <c r="X34" s="28" t="s">
        <v>59</v>
      </c>
      <c r="Y34" s="23">
        <v>2023</v>
      </c>
      <c r="Z34" s="23" t="str">
        <f>VLOOKUP($E34,'[1]5-2. Emission Facility'!$B$7:$D$16,2,0)</f>
        <v>Kitchen</v>
      </c>
      <c r="AA34" s="23" t="str">
        <f>VLOOKUP($Z34,'[1]5-2. Emission Facility'!$C$7:$D$16,2,0)</f>
        <v>Others</v>
      </c>
      <c r="AB34" s="23" t="str">
        <f>IF($C34="","",IF(VLOOKUP($C34,'[1]1. General Facility Information'!$C$7:$E$13,3,0)="Korea",'Scope 1'!$I34,INDEX('[1]5-1. Fuel Density'!$B$6:$B$18,MATCH('Scope 1'!$I34,'[1]5-1. Fuel Density'!$C$6:$C$18,0))))</f>
        <v>Liquefied Petroleum Gas (LPG)</v>
      </c>
      <c r="AC34" s="23">
        <f t="shared" si="1"/>
        <v>36</v>
      </c>
      <c r="AD34" s="23">
        <f t="shared" si="5"/>
        <v>24</v>
      </c>
      <c r="AE34" s="23">
        <f t="shared" si="5"/>
        <v>24</v>
      </c>
      <c r="AF34" s="23">
        <f t="shared" si="5"/>
        <v>12</v>
      </c>
      <c r="AG34" s="23">
        <f t="shared" si="5"/>
        <v>24</v>
      </c>
      <c r="AH34" s="23">
        <f t="shared" si="5"/>
        <v>12</v>
      </c>
      <c r="AI34" s="23">
        <f t="shared" si="5"/>
        <v>24</v>
      </c>
      <c r="AJ34" s="23">
        <f t="shared" si="5"/>
        <v>24</v>
      </c>
      <c r="AK34" s="23">
        <f t="shared" si="5"/>
        <v>12</v>
      </c>
      <c r="AL34" s="23">
        <f t="shared" si="5"/>
        <v>24</v>
      </c>
      <c r="AM34" s="23">
        <f t="shared" si="5"/>
        <v>24</v>
      </c>
      <c r="AN34" s="23">
        <f t="shared" si="5"/>
        <v>24</v>
      </c>
      <c r="AO34" s="23" t="str">
        <f t="shared" si="2"/>
        <v/>
      </c>
      <c r="AP34" s="34">
        <f t="shared" si="3"/>
        <v>264</v>
      </c>
      <c r="AQ34" s="23" t="str">
        <f t="shared" si="4"/>
        <v>kg</v>
      </c>
      <c r="AR34" s="35">
        <f>IF($C34="","",$AP34*IF($AQ34="㎥",VLOOKUP('Scope 1'!AQ34,'[1]5-3. Unit Conversion'!$B$5:$J$13,3,FALSE)*VLOOKUP('Scope 1'!AB34,'[1]5-1. Fuel Density'!$B$6:$D$18,3,FALSE)*1000,IF($AQ34="kg",VLOOKUP('Scope 1'!AQ34,'[1]5-3. Unit Conversion'!$B$16:$G$21,3,FALSE),0)))</f>
        <v>264</v>
      </c>
      <c r="AS34" s="35">
        <f>IFERROR(IF($AB34="","",IF(VLOOKUP($AB34,'[1]5-1. Fuel Density'!$B$6:$G$19,6,0)="Use of other GHGs",0,IF($AB34="Industrial Wastes",$AR34*'[1]5-4. Calorific&amp;Emission factor'!$R$75,$AR34*VLOOKUP($AB34,'[1]5-4. Calorific&amp;Emission factor'!$P$9:$R$74,3,FALSE)))),0)</f>
        <v>12487.199999999999</v>
      </c>
      <c r="AT34" s="32">
        <f>IF($AB34="","",IF(OR($AB34="Hydrofluorocarbons(HFCs)",$AB34="ETC"),$AR34*VLOOKUP($J34,'[1]5-4. Calorific&amp;Emission factor'!$B$10:$D$14,3,0)/1000,IF(VLOOKUP($AB34,'[1]5-1. Fuel Density'!$B$6:$G$19,6,0)="Use of other GHGs",$AU34/1000,(($AU34*'[1]5-4. Calorific&amp;Emission factor'!$D$7)+($AV34*'[1]5-4. Calorific&amp;Emission factor'!$D$8)+($AW34*'[1]5-4. Calorific&amp;Emission factor'!$D$9))/1000)))</f>
        <v>0.78862037495999993</v>
      </c>
      <c r="AU34" s="33">
        <f>IF($AB34="","",IF(VLOOKUP($AB34,'[1]5-1. Fuel Density'!$B$6:$G$19,6,0)="Use of other GHGs",$AR34*VLOOKUP($AB34,'[1]5-4. Calorific&amp;Emission factor'!$O$9:$Y$74,5,FALSE)/1000000,$AS34*VLOOKUP($AB34,'[1]5-4. Calorific&amp;Emission factor'!$P$9:$Y$74,4,FALSE)/1000000))</f>
        <v>787.94231999999988</v>
      </c>
      <c r="AV34" s="33">
        <f>IF($AB34="","",IF(VLOOKUP($AB34,'[1]5-1. Fuel Density'!$B$6:$G$19,6,0)="Use of other GHGs",0,$AS34*VLOOKUP($AB34,'[1]5-4. Calorific&amp;Emission factor'!$P$9:$Y$74,6,FALSE)/1000000))</f>
        <v>1.2487199999999999E-2</v>
      </c>
      <c r="AW34" s="33">
        <f>IF($AB34="","",IF(VLOOKUP($AB34,'[1]5-1. Fuel Density'!$B$6:$G$19,6,0)="Use of other GHGs",0,$AS34*VLOOKUP($AB34,'[1]5-4. Calorific&amp;Emission factor'!$P$9:$Y$74,9,FALSE)/1000000))</f>
        <v>1.24872E-3</v>
      </c>
    </row>
    <row r="35" spans="2:49">
      <c r="B35" s="23">
        <v>30</v>
      </c>
      <c r="C35" s="23" t="s">
        <v>69</v>
      </c>
      <c r="D35" s="23" t="s">
        <v>70</v>
      </c>
      <c r="E35" s="24" t="s">
        <v>71</v>
      </c>
      <c r="F35" s="24" t="s">
        <v>42</v>
      </c>
      <c r="G35" s="24" t="s">
        <v>72</v>
      </c>
      <c r="H35" s="24"/>
      <c r="I35" s="24" t="s">
        <v>67</v>
      </c>
      <c r="J35" s="24" t="s">
        <v>89</v>
      </c>
      <c r="K35" s="36">
        <v>881.0200000000001</v>
      </c>
      <c r="L35" s="27">
        <v>61.38</v>
      </c>
      <c r="M35" s="27">
        <v>61.38</v>
      </c>
      <c r="N35" s="27">
        <v>73.150000000000006</v>
      </c>
      <c r="O35" s="27">
        <v>73.150000000000006</v>
      </c>
      <c r="P35" s="27">
        <v>50.3</v>
      </c>
      <c r="Q35" s="27">
        <v>73.150000000000006</v>
      </c>
      <c r="R35" s="27">
        <v>73.38</v>
      </c>
      <c r="S35" s="27">
        <v>85.84</v>
      </c>
      <c r="T35" s="27">
        <v>73.38</v>
      </c>
      <c r="U35" s="27">
        <v>73.61</v>
      </c>
      <c r="V35" s="27">
        <v>85.38</v>
      </c>
      <c r="W35" s="27">
        <v>96.92</v>
      </c>
      <c r="X35" s="28" t="s">
        <v>59</v>
      </c>
      <c r="Y35" s="23">
        <v>2023</v>
      </c>
      <c r="Z35" s="23" t="str">
        <f>VLOOKUP($E35,'[1]5-2. Emission Facility'!$B$7:$D$16,2,0)</f>
        <v>Mess</v>
      </c>
      <c r="AA35" s="23" t="str">
        <f>VLOOKUP($Z35,'[1]5-2. Emission Facility'!$C$7:$D$16,2,0)</f>
        <v>Others</v>
      </c>
      <c r="AB35" s="23" t="str">
        <f>IF($C35="","",IF(VLOOKUP($C35,'[1]1. General Facility Information'!$C$7:$E$13,3,0)="Korea",'Scope 1'!$I35,INDEX('[1]5-1. Fuel Density'!$B$6:$B$18,MATCH('Scope 1'!$I35,'[1]5-1. Fuel Density'!$C$6:$C$18,0))))</f>
        <v>Liquefied Petroleum Gas (LPG)</v>
      </c>
      <c r="AC35" s="23">
        <f t="shared" si="1"/>
        <v>61.38</v>
      </c>
      <c r="AD35" s="23">
        <f t="shared" si="5"/>
        <v>61.38</v>
      </c>
      <c r="AE35" s="23">
        <f t="shared" si="5"/>
        <v>73.150000000000006</v>
      </c>
      <c r="AF35" s="23">
        <f t="shared" si="5"/>
        <v>73.150000000000006</v>
      </c>
      <c r="AG35" s="23">
        <f t="shared" si="5"/>
        <v>50.3</v>
      </c>
      <c r="AH35" s="23">
        <f t="shared" si="5"/>
        <v>73.150000000000006</v>
      </c>
      <c r="AI35" s="23">
        <f t="shared" si="5"/>
        <v>73.38</v>
      </c>
      <c r="AJ35" s="23">
        <f t="shared" si="5"/>
        <v>85.84</v>
      </c>
      <c r="AK35" s="23">
        <f t="shared" si="5"/>
        <v>73.38</v>
      </c>
      <c r="AL35" s="23">
        <f t="shared" si="5"/>
        <v>73.61</v>
      </c>
      <c r="AM35" s="23">
        <f t="shared" si="5"/>
        <v>85.38</v>
      </c>
      <c r="AN35" s="23">
        <f t="shared" si="5"/>
        <v>96.92</v>
      </c>
      <c r="AO35" s="23" t="str">
        <f t="shared" si="2"/>
        <v/>
      </c>
      <c r="AP35" s="34">
        <f t="shared" si="3"/>
        <v>881.0200000000001</v>
      </c>
      <c r="AQ35" s="23" t="str">
        <f t="shared" si="4"/>
        <v>kg</v>
      </c>
      <c r="AR35" s="35">
        <f>IF($C35="","",$AP35*IF($AQ35="㎥",VLOOKUP('Scope 1'!AQ35,'[1]5-3. Unit Conversion'!$B$5:$J$13,3,FALSE)*VLOOKUP('Scope 1'!AB35,'[1]5-1. Fuel Density'!$B$6:$D$18,3,FALSE)*1000,IF($AQ35="kg",VLOOKUP('Scope 1'!AQ35,'[1]5-3. Unit Conversion'!$B$16:$G$21,3,FALSE),0)))</f>
        <v>881.0200000000001</v>
      </c>
      <c r="AS35" s="35">
        <f>IFERROR(IF($AB35="","",IF(VLOOKUP($AB35,'[1]5-1. Fuel Density'!$B$6:$G$19,6,0)="Use of other GHGs",0,IF($AB35="Industrial Wastes",$AR35*'[1]5-4. Calorific&amp;Emission factor'!$R$75,$AR35*VLOOKUP($AB35,'[1]5-4. Calorific&amp;Emission factor'!$P$9:$R$74,3,FALSE)))),0)</f>
        <v>41672.245999999999</v>
      </c>
      <c r="AT35" s="32">
        <f>IF($AB35="","",IF(OR($AB35="Hydrofluorocarbons(HFCs)",$AB35="ETC"),$AR35*VLOOKUP($J35,'[1]5-4. Calorific&amp;Emission factor'!$B$10:$D$14,3,0)/1000,IF(VLOOKUP($AB35,'[1]5-1. Fuel Density'!$B$6:$G$19,6,0)="Use of other GHGs",$AU35/1000,(($AU35*'[1]5-4. Calorific&amp;Emission factor'!$D$7)+($AV35*'[1]5-4. Calorific&amp;Emission factor'!$D$8)+($AW35*'[1]5-4. Calorific&amp;Emission factor'!$D$9))/1000)))</f>
        <v>2.6317815255577997</v>
      </c>
      <c r="AU35" s="33">
        <f>IF($AB35="","",IF(VLOOKUP($AB35,'[1]5-1. Fuel Density'!$B$6:$G$19,6,0)="Use of other GHGs",$AR35*VLOOKUP($AB35,'[1]5-4. Calorific&amp;Emission factor'!$O$9:$Y$74,5,FALSE)/1000000,$AS35*VLOOKUP($AB35,'[1]5-4. Calorific&amp;Emission factor'!$P$9:$Y$74,4,FALSE)/1000000))</f>
        <v>2629.5187225999998</v>
      </c>
      <c r="AV35" s="33">
        <f>IF($AB35="","",IF(VLOOKUP($AB35,'[1]5-1. Fuel Density'!$B$6:$G$19,6,0)="Use of other GHGs",0,$AS35*VLOOKUP($AB35,'[1]5-4. Calorific&amp;Emission factor'!$P$9:$Y$74,6,FALSE)/1000000))</f>
        <v>4.1672245999999996E-2</v>
      </c>
      <c r="AW35" s="33">
        <f>IF($AB35="","",IF(VLOOKUP($AB35,'[1]5-1. Fuel Density'!$B$6:$G$19,6,0)="Use of other GHGs",0,$AS35*VLOOKUP($AB35,'[1]5-4. Calorific&amp;Emission factor'!$P$9:$Y$74,9,FALSE)/1000000))</f>
        <v>4.1672246000000008E-3</v>
      </c>
    </row>
    <row r="36" spans="2:49">
      <c r="B36" s="23">
        <v>31</v>
      </c>
      <c r="C36" s="23" t="s">
        <v>69</v>
      </c>
      <c r="D36" s="23" t="s">
        <v>70</v>
      </c>
      <c r="E36" s="24" t="s">
        <v>73</v>
      </c>
      <c r="F36" s="24" t="s">
        <v>42</v>
      </c>
      <c r="G36" s="24" t="s">
        <v>72</v>
      </c>
      <c r="H36" s="24"/>
      <c r="I36" s="24" t="s">
        <v>74</v>
      </c>
      <c r="J36" s="24" t="s">
        <v>75</v>
      </c>
      <c r="K36" s="36">
        <v>2.2000000000000002</v>
      </c>
      <c r="L36" s="27">
        <v>0.57499999999999996</v>
      </c>
      <c r="M36" s="27">
        <v>0.1</v>
      </c>
      <c r="N36" s="27">
        <v>0.375</v>
      </c>
      <c r="O36" s="27"/>
      <c r="P36" s="27">
        <v>0.1</v>
      </c>
      <c r="Q36" s="27">
        <v>0.1</v>
      </c>
      <c r="R36" s="27">
        <v>0.125</v>
      </c>
      <c r="S36" s="27">
        <v>0.1</v>
      </c>
      <c r="T36" s="27">
        <v>0.1</v>
      </c>
      <c r="U36" s="27">
        <v>0.4</v>
      </c>
      <c r="V36" s="27">
        <v>0.1</v>
      </c>
      <c r="W36" s="27">
        <v>0.125</v>
      </c>
      <c r="X36" s="28" t="s">
        <v>46</v>
      </c>
      <c r="Y36" s="23">
        <v>2023</v>
      </c>
      <c r="Z36" s="23" t="str">
        <f>VLOOKUP($E36,'[1]5-2. Emission Facility'!$B$7:$D$16,2,0)</f>
        <v>Generator</v>
      </c>
      <c r="AA36" s="23" t="str">
        <f>VLOOKUP($Z36,'[1]5-2. Emission Facility'!$C$7:$D$16,2,0)</f>
        <v>Stationary Combustion</v>
      </c>
      <c r="AB36" s="23" t="str">
        <f>IF($C36="","",IF(VLOOKUP($C36,'[1]1. General Facility Information'!$C$7:$E$13,3,0)="Korea",'Scope 1'!$I36,INDEX('[1]5-1. Fuel Density'!$B$6:$B$18,MATCH('Scope 1'!$I36,'[1]5-1. Fuel Density'!$C$6:$C$18,0))))</f>
        <v>Gas / Diesel oil</v>
      </c>
      <c r="AC36" s="23">
        <f t="shared" si="1"/>
        <v>0.57499999999999996</v>
      </c>
      <c r="AD36" s="23">
        <f t="shared" si="5"/>
        <v>0.1</v>
      </c>
      <c r="AE36" s="23">
        <f t="shared" si="5"/>
        <v>0.375</v>
      </c>
      <c r="AF36" s="23">
        <f t="shared" si="5"/>
        <v>0</v>
      </c>
      <c r="AG36" s="23">
        <f t="shared" si="5"/>
        <v>0.1</v>
      </c>
      <c r="AH36" s="23">
        <f t="shared" si="5"/>
        <v>0.1</v>
      </c>
      <c r="AI36" s="23">
        <f t="shared" si="5"/>
        <v>0.125</v>
      </c>
      <c r="AJ36" s="23">
        <f t="shared" si="5"/>
        <v>0.1</v>
      </c>
      <c r="AK36" s="23">
        <f t="shared" si="5"/>
        <v>0.1</v>
      </c>
      <c r="AL36" s="23">
        <f t="shared" si="5"/>
        <v>0.4</v>
      </c>
      <c r="AM36" s="23">
        <f t="shared" si="5"/>
        <v>0.1</v>
      </c>
      <c r="AN36" s="23">
        <f t="shared" si="5"/>
        <v>0.125</v>
      </c>
      <c r="AO36" s="23" t="str">
        <f t="shared" si="2"/>
        <v/>
      </c>
      <c r="AP36" s="34">
        <f t="shared" si="3"/>
        <v>2.2000000000000002</v>
      </c>
      <c r="AQ36" s="23" t="str">
        <f t="shared" si="4"/>
        <v>㎥</v>
      </c>
      <c r="AR36" s="35">
        <f>IF($C36="","",$AP36*IF($AQ36="㎥",VLOOKUP('Scope 1'!AQ36,'[1]5-3. Unit Conversion'!$B$5:$J$13,3,FALSE)*VLOOKUP('Scope 1'!AB36,'[1]5-1. Fuel Density'!$B$6:$D$18,3,FALSE)*1000,IF($AQ36="kg",VLOOKUP('Scope 1'!AQ36,'[1]5-3. Unit Conversion'!$B$16:$G$21,3,FALSE),0)))</f>
        <v>1856.8000000000002</v>
      </c>
      <c r="AS36" s="35">
        <f>IFERROR(IF($AB36="","",IF(VLOOKUP($AB36,'[1]5-1. Fuel Density'!$B$6:$G$19,6,0)="Use of other GHGs",0,IF($AB36="Industrial Wastes",$AR36*'[1]5-4. Calorific&amp;Emission factor'!$R$75,$AR36*VLOOKUP($AB36,'[1]5-4. Calorific&amp;Emission factor'!$P$9:$R$74,3,FALSE)))),0)</f>
        <v>79842.400000000009</v>
      </c>
      <c r="AT36" s="32">
        <f>IF($AB36="","",IF(OR($AB36="Hydrofluorocarbons(HFCs)",$AB36="ETC"),$AR36*VLOOKUP($J36,'[1]5-4. Calorific&amp;Emission factor'!$B$10:$D$14,3,0)/1000,IF(VLOOKUP($AB36,'[1]5-1. Fuel Density'!$B$6:$G$19,6,0)="Use of other GHGs",$AU36/1000,(($AU36*'[1]5-4. Calorific&amp;Emission factor'!$D$7)+($AV36*'[1]5-4. Calorific&amp;Emission factor'!$D$8)+($AW36*'[1]5-4. Calorific&amp;Emission factor'!$D$9))/1000)))</f>
        <v>5.9358672595200002</v>
      </c>
      <c r="AU36" s="33">
        <f>IF($AB36="","",IF(VLOOKUP($AB36,'[1]5-1. Fuel Density'!$B$6:$G$19,6,0)="Use of other GHGs",$AR36*VLOOKUP($AB36,'[1]5-4. Calorific&amp;Emission factor'!$O$9:$Y$74,5,FALSE)/1000000,$AS36*VLOOKUP($AB36,'[1]5-4. Calorific&amp;Emission factor'!$P$9:$Y$74,4,FALSE)/1000000))</f>
        <v>5916.3218400000005</v>
      </c>
      <c r="AV36" s="33">
        <f>IF($AB36="","",IF(VLOOKUP($AB36,'[1]5-1. Fuel Density'!$B$6:$G$19,6,0)="Use of other GHGs",0,$AS36*VLOOKUP($AB36,'[1]5-4. Calorific&amp;Emission factor'!$P$9:$Y$74,6,FALSE)/1000000))</f>
        <v>0.23952720000000002</v>
      </c>
      <c r="AW36" s="33">
        <f>IF($AB36="","",IF(VLOOKUP($AB36,'[1]5-1. Fuel Density'!$B$6:$G$19,6,0)="Use of other GHGs",0,$AS36*VLOOKUP($AB36,'[1]5-4. Calorific&amp;Emission factor'!$P$9:$Y$74,9,FALSE)/1000000))</f>
        <v>4.7905440000000001E-2</v>
      </c>
    </row>
    <row r="37" spans="2:49">
      <c r="B37" s="23">
        <v>32</v>
      </c>
      <c r="C37" s="23" t="s">
        <v>69</v>
      </c>
      <c r="D37" s="23" t="s">
        <v>70</v>
      </c>
      <c r="E37" s="24" t="s">
        <v>54</v>
      </c>
      <c r="F37" s="24" t="s">
        <v>42</v>
      </c>
      <c r="G37" s="24" t="s">
        <v>72</v>
      </c>
      <c r="H37" s="24"/>
      <c r="I37" s="24" t="s">
        <v>57</v>
      </c>
      <c r="J37" s="24" t="s">
        <v>76</v>
      </c>
      <c r="K37" s="36">
        <v>355050</v>
      </c>
      <c r="L37" s="27">
        <v>29700</v>
      </c>
      <c r="M37" s="27">
        <v>29700</v>
      </c>
      <c r="N37" s="27">
        <v>31050</v>
      </c>
      <c r="O37" s="27">
        <v>17550</v>
      </c>
      <c r="P37" s="27">
        <v>31050</v>
      </c>
      <c r="Q37" s="27">
        <v>36450</v>
      </c>
      <c r="R37" s="27">
        <v>27000</v>
      </c>
      <c r="S37" s="27">
        <v>24300</v>
      </c>
      <c r="T37" s="27">
        <v>40500</v>
      </c>
      <c r="U37" s="27">
        <v>29700</v>
      </c>
      <c r="V37" s="27">
        <v>31050</v>
      </c>
      <c r="W37" s="27">
        <v>27000</v>
      </c>
      <c r="X37" s="28" t="s">
        <v>59</v>
      </c>
      <c r="Y37" s="23">
        <v>2023</v>
      </c>
      <c r="Z37" s="23" t="str">
        <f>VLOOKUP($E37,'[1]5-2. Emission Facility'!$B$7:$D$16,2,0)</f>
        <v>Boiler</v>
      </c>
      <c r="AA37" s="23" t="str">
        <f>VLOOKUP($Z37,'[1]5-2. Emission Facility'!$C$7:$D$16,2,0)</f>
        <v>Stationary Combustion</v>
      </c>
      <c r="AB37" s="23" t="str">
        <f>IF($C37="","",IF(VLOOKUP($C37,'[1]1. General Facility Information'!$C$7:$E$13,3,0)="Korea",'Scope 1'!$I37,INDEX('[1]5-1. Fuel Density'!$B$6:$B$18,MATCH('Scope 1'!$I37,'[1]5-1. Fuel Density'!$C$6:$C$18,0))))</f>
        <v>Industrial Wastes</v>
      </c>
      <c r="AC37" s="23">
        <f t="shared" si="1"/>
        <v>29700</v>
      </c>
      <c r="AD37" s="23">
        <f t="shared" si="5"/>
        <v>29700</v>
      </c>
      <c r="AE37" s="23">
        <f t="shared" si="5"/>
        <v>31050</v>
      </c>
      <c r="AF37" s="23">
        <f t="shared" si="5"/>
        <v>17550</v>
      </c>
      <c r="AG37" s="23">
        <f t="shared" si="5"/>
        <v>31050</v>
      </c>
      <c r="AH37" s="23">
        <f t="shared" si="5"/>
        <v>36450</v>
      </c>
      <c r="AI37" s="23">
        <f t="shared" si="5"/>
        <v>27000</v>
      </c>
      <c r="AJ37" s="23">
        <f t="shared" si="5"/>
        <v>24300</v>
      </c>
      <c r="AK37" s="23">
        <f t="shared" si="5"/>
        <v>40500</v>
      </c>
      <c r="AL37" s="23">
        <f t="shared" si="5"/>
        <v>29700</v>
      </c>
      <c r="AM37" s="23">
        <f t="shared" si="5"/>
        <v>31050</v>
      </c>
      <c r="AN37" s="23">
        <f t="shared" si="5"/>
        <v>27000</v>
      </c>
      <c r="AO37" s="23" t="str">
        <f t="shared" si="2"/>
        <v/>
      </c>
      <c r="AP37" s="34">
        <f t="shared" si="3"/>
        <v>355050</v>
      </c>
      <c r="AQ37" s="23" t="str">
        <f t="shared" si="4"/>
        <v>kg</v>
      </c>
      <c r="AR37" s="35">
        <f>IF($C37="","",$AP37*IF($AQ37="㎥",VLOOKUP('Scope 1'!AQ37,'[1]5-3. Unit Conversion'!$B$5:$J$13,3,FALSE)*VLOOKUP('Scope 1'!AB37,'[1]5-1. Fuel Density'!$B$6:$D$18,3,FALSE)*1000,IF($AQ37="kg",VLOOKUP('Scope 1'!AQ37,'[1]5-3. Unit Conversion'!$B$16:$G$21,3,FALSE),0)))</f>
        <v>355050</v>
      </c>
      <c r="AS37" s="35">
        <f>IFERROR(IF($AB37="","",IF(VLOOKUP($AB37,'[1]5-1. Fuel Density'!$B$6:$G$19,6,0)="Use of other GHGs",0,IF($AB37="Industrial Wastes",$AR37*'[1]5-4. Calorific&amp;Emission factor'!$R$75,$AR37*VLOOKUP($AB37,'[1]5-4. Calorific&amp;Emission factor'!$P$9:$R$74,3,FALSE)))),0)</f>
        <v>7724757.3220747886</v>
      </c>
      <c r="AT37" s="32">
        <f>IF($AB37="","",IF(OR($AB37="Hydrofluorocarbons(HFCs)",$AB37="ETC"),$AR37*VLOOKUP($J37,'[1]5-4. Calorific&amp;Emission factor'!$B$10:$D$14,3,0)/1000,IF(VLOOKUP($AB37,'[1]5-1. Fuel Density'!$B$6:$G$19,6,0)="Use of other GHGs",$AU37/1000,(($AU37*'[1]5-4. Calorific&amp;Emission factor'!$D$7)+($AV37*'[1]5-4. Calorific&amp;Emission factor'!$D$8)+($AW37*'[1]5-4. Calorific&amp;Emission factor'!$D$9))/1000)))</f>
        <v>1119.3327854832812</v>
      </c>
      <c r="AU37" s="33">
        <f>IF($AB37="","",IF(VLOOKUP($AB37,'[1]5-1. Fuel Density'!$B$6:$G$19,6,0)="Use of other GHGs",$AR37*VLOOKUP($AB37,'[1]5-4. Calorific&amp;Emission factor'!$O$9:$Y$74,5,FALSE)/1000000,$AS37*VLOOKUP($AB37,'[1]5-4. Calorific&amp;Emission factor'!$P$9:$Y$74,4,FALSE)/1000000))</f>
        <v>1104640.2970566947</v>
      </c>
      <c r="AV37" s="33">
        <f>IF($AB37="","",IF(VLOOKUP($AB37,'[1]5-1. Fuel Density'!$B$6:$G$19,6,0)="Use of other GHGs",0,$AS37*VLOOKUP($AB37,'[1]5-4. Calorific&amp;Emission factor'!$P$9:$Y$74,6,FALSE)/1000000))</f>
        <v>231.74271966224367</v>
      </c>
      <c r="AW37" s="33">
        <f>IF($AB37="","",IF(VLOOKUP($AB37,'[1]5-1. Fuel Density'!$B$6:$G$19,6,0)="Use of other GHGs",0,$AS37*VLOOKUP($AB37,'[1]5-4. Calorific&amp;Emission factor'!$P$9:$Y$74,9,FALSE)/1000000))</f>
        <v>30.899029288299154</v>
      </c>
    </row>
    <row r="38" spans="2:49">
      <c r="B38" s="23">
        <v>33</v>
      </c>
      <c r="C38" s="23" t="s">
        <v>69</v>
      </c>
      <c r="D38" s="23" t="s">
        <v>70</v>
      </c>
      <c r="E38" s="24" t="s">
        <v>77</v>
      </c>
      <c r="F38" s="24" t="s">
        <v>78</v>
      </c>
      <c r="G38" s="24" t="s">
        <v>79</v>
      </c>
      <c r="H38" s="24"/>
      <c r="I38" s="24" t="s">
        <v>80</v>
      </c>
      <c r="J38" s="24" t="s">
        <v>81</v>
      </c>
      <c r="K38" s="36">
        <v>11.3</v>
      </c>
      <c r="L38" s="27"/>
      <c r="M38" s="27"/>
      <c r="N38" s="27"/>
      <c r="O38" s="27"/>
      <c r="P38" s="27">
        <v>11.3</v>
      </c>
      <c r="Q38" s="27"/>
      <c r="R38" s="27"/>
      <c r="S38" s="27"/>
      <c r="T38" s="27"/>
      <c r="U38" s="27"/>
      <c r="V38" s="27"/>
      <c r="W38" s="27"/>
      <c r="X38" s="28" t="s">
        <v>59</v>
      </c>
      <c r="Y38" s="23">
        <v>2023</v>
      </c>
      <c r="Z38" s="23" t="str">
        <f>VLOOKUP($E38,'[1]5-2. Emission Facility'!$B$7:$D$16,2,0)</f>
        <v>AC</v>
      </c>
      <c r="AA38" s="23" t="str">
        <f>VLOOKUP($Z38,'[1]5-2. Emission Facility'!$C$7:$D$16,2,0)</f>
        <v>Process Emissions</v>
      </c>
      <c r="AB38" s="23" t="str">
        <f>IF($C38="","",IF(VLOOKUP($C38,'[1]1. General Facility Information'!$C$7:$E$13,3,0)="Korea",'Scope 1'!$I38,INDEX('[1]5-1. Fuel Density'!$B$6:$B$18,MATCH('Scope 1'!$I38,'[1]5-1. Fuel Density'!$C$6:$C$18,0))))</f>
        <v>Hydrofluorocarbons(HFCs)</v>
      </c>
      <c r="AC38" s="23">
        <f t="shared" si="1"/>
        <v>0</v>
      </c>
      <c r="AD38" s="23">
        <f t="shared" si="5"/>
        <v>0</v>
      </c>
      <c r="AE38" s="23">
        <f t="shared" si="5"/>
        <v>0</v>
      </c>
      <c r="AF38" s="23">
        <f t="shared" si="5"/>
        <v>0</v>
      </c>
      <c r="AG38" s="23">
        <f t="shared" si="5"/>
        <v>11.3</v>
      </c>
      <c r="AH38" s="23">
        <f t="shared" si="5"/>
        <v>0</v>
      </c>
      <c r="AI38" s="23">
        <f t="shared" si="5"/>
        <v>0</v>
      </c>
      <c r="AJ38" s="23">
        <f t="shared" si="5"/>
        <v>0</v>
      </c>
      <c r="AK38" s="23">
        <f t="shared" si="5"/>
        <v>0</v>
      </c>
      <c r="AL38" s="23">
        <f t="shared" si="5"/>
        <v>0</v>
      </c>
      <c r="AM38" s="23">
        <f t="shared" si="5"/>
        <v>0</v>
      </c>
      <c r="AN38" s="23">
        <f t="shared" si="5"/>
        <v>0</v>
      </c>
      <c r="AO38" s="23" t="str">
        <f t="shared" si="2"/>
        <v/>
      </c>
      <c r="AP38" s="34">
        <f t="shared" si="3"/>
        <v>11.3</v>
      </c>
      <c r="AQ38" s="23" t="str">
        <f t="shared" si="4"/>
        <v>kg</v>
      </c>
      <c r="AR38" s="35">
        <f>IF($C38="","",$AP38*IF($AQ38="㎥",VLOOKUP('Scope 1'!AQ38,'[1]5-3. Unit Conversion'!$B$5:$J$13,3,FALSE)*VLOOKUP('Scope 1'!AB38,'[1]5-1. Fuel Density'!$B$6:$D$18,3,FALSE)*1000,IF($AQ38="kg",VLOOKUP('Scope 1'!AQ38,'[1]5-3. Unit Conversion'!$B$16:$G$21,3,FALSE),0)))</f>
        <v>11.3</v>
      </c>
      <c r="AS38" s="35">
        <f>IFERROR(IF($AB38="","",IF(VLOOKUP($AB38,'[1]5-1. Fuel Density'!$B$6:$G$19,6,0)="Use of other GHGs",0,IF($AB38="Industrial Wastes",$AR38*'[1]5-4. Calorific&amp;Emission factor'!$R$75,$AR38*VLOOKUP($AB38,'[1]5-4. Calorific&amp;Emission factor'!$P$9:$R$74,3,FALSE)))),0)</f>
        <v>0</v>
      </c>
      <c r="AT38" s="32">
        <f>IF($AB38="","",IF(OR($AB38="Hydrofluorocarbons(HFCs)",$AB38="ETC"),$AR38*VLOOKUP($J38,'[1]5-4. Calorific&amp;Emission factor'!$B$10:$D$14,3,0)/1000,IF(VLOOKUP($AB38,'[1]5-1. Fuel Density'!$B$6:$G$19,6,0)="Use of other GHGs",$AU38/1000,(($AU38*'[1]5-4. Calorific&amp;Emission factor'!$D$7)+($AV38*'[1]5-4. Calorific&amp;Emission factor'!$D$8)+($AW38*'[1]5-4. Calorific&amp;Emission factor'!$D$9))/1000)))</f>
        <v>25.48715</v>
      </c>
      <c r="AU38" s="33">
        <f>IF($AB38="","",IF(VLOOKUP($AB38,'[1]5-1. Fuel Density'!$B$6:$G$19,6,0)="Use of other GHGs",$AR38*VLOOKUP($AB38,'[1]5-4. Calorific&amp;Emission factor'!$O$9:$Y$74,5,FALSE)/1000000,$AS38*VLOOKUP($AB38,'[1]5-4. Calorific&amp;Emission factor'!$P$9:$Y$74,4,FALSE)/1000000))</f>
        <v>0</v>
      </c>
      <c r="AV38" s="33">
        <f>IF($AB38="","",IF(VLOOKUP($AB38,'[1]5-1. Fuel Density'!$B$6:$G$19,6,0)="Use of other GHGs",0,$AS38*VLOOKUP($AB38,'[1]5-4. Calorific&amp;Emission factor'!$P$9:$Y$74,6,FALSE)/1000000))</f>
        <v>0</v>
      </c>
      <c r="AW38" s="33">
        <f>IF($AB38="","",IF(VLOOKUP($AB38,'[1]5-1. Fuel Density'!$B$6:$G$19,6,0)="Use of other GHGs",0,$AS38*VLOOKUP($AB38,'[1]5-4. Calorific&amp;Emission factor'!$P$9:$Y$74,9,FALSE)/1000000))</f>
        <v>0</v>
      </c>
    </row>
    <row r="39" spans="2:49">
      <c r="B39" s="23">
        <v>34</v>
      </c>
      <c r="C39" s="23" t="s">
        <v>69</v>
      </c>
      <c r="D39" s="23" t="s">
        <v>70</v>
      </c>
      <c r="E39" s="24" t="s">
        <v>77</v>
      </c>
      <c r="F39" s="24" t="s">
        <v>78</v>
      </c>
      <c r="G39" s="24" t="s">
        <v>79</v>
      </c>
      <c r="H39" s="24"/>
      <c r="I39" s="24" t="s">
        <v>82</v>
      </c>
      <c r="J39" s="24" t="s">
        <v>83</v>
      </c>
      <c r="K39" s="36">
        <v>13.6</v>
      </c>
      <c r="L39" s="27"/>
      <c r="M39" s="27"/>
      <c r="N39" s="27"/>
      <c r="O39" s="27"/>
      <c r="P39" s="27">
        <v>13.6</v>
      </c>
      <c r="Q39" s="27"/>
      <c r="R39" s="27"/>
      <c r="S39" s="27"/>
      <c r="T39" s="27"/>
      <c r="U39" s="27"/>
      <c r="V39" s="27"/>
      <c r="W39" s="27"/>
      <c r="X39" s="28" t="s">
        <v>59</v>
      </c>
      <c r="Y39" s="23">
        <v>2023</v>
      </c>
      <c r="Z39" s="23" t="str">
        <f>VLOOKUP($E39,'[1]5-2. Emission Facility'!$B$7:$D$16,2,0)</f>
        <v>AC</v>
      </c>
      <c r="AA39" s="23" t="str">
        <f>VLOOKUP($Z39,'[1]5-2. Emission Facility'!$C$7:$D$16,2,0)</f>
        <v>Process Emissions</v>
      </c>
      <c r="AB39" s="23" t="str">
        <f>IF($C39="","",IF(VLOOKUP($C39,'[1]1. General Facility Information'!$C$7:$E$13,3,0)="Korea",'Scope 1'!$I39,INDEX('[1]5-1. Fuel Density'!$B$6:$B$18,MATCH('Scope 1'!$I39,'[1]5-1. Fuel Density'!$C$6:$C$18,0))))</f>
        <v>Hydrofluorocarbons(HFCs)</v>
      </c>
      <c r="AC39" s="23">
        <f t="shared" si="1"/>
        <v>0</v>
      </c>
      <c r="AD39" s="23">
        <f t="shared" si="5"/>
        <v>0</v>
      </c>
      <c r="AE39" s="23">
        <f t="shared" si="5"/>
        <v>0</v>
      </c>
      <c r="AF39" s="23">
        <f t="shared" si="5"/>
        <v>0</v>
      </c>
      <c r="AG39" s="23">
        <f t="shared" si="5"/>
        <v>13.6</v>
      </c>
      <c r="AH39" s="23">
        <f t="shared" si="5"/>
        <v>0</v>
      </c>
      <c r="AI39" s="23">
        <f t="shared" si="5"/>
        <v>0</v>
      </c>
      <c r="AJ39" s="23">
        <f t="shared" si="5"/>
        <v>0</v>
      </c>
      <c r="AK39" s="23">
        <f t="shared" si="5"/>
        <v>0</v>
      </c>
      <c r="AL39" s="23">
        <f t="shared" si="5"/>
        <v>0</v>
      </c>
      <c r="AM39" s="23">
        <f t="shared" si="5"/>
        <v>0</v>
      </c>
      <c r="AN39" s="23">
        <f t="shared" si="5"/>
        <v>0</v>
      </c>
      <c r="AO39" s="23" t="str">
        <f t="shared" si="2"/>
        <v/>
      </c>
      <c r="AP39" s="34">
        <f t="shared" si="3"/>
        <v>13.6</v>
      </c>
      <c r="AQ39" s="23" t="str">
        <f t="shared" si="4"/>
        <v>kg</v>
      </c>
      <c r="AR39" s="35">
        <f>IF($C39="","",$AP39*IF($AQ39="㎥",VLOOKUP('Scope 1'!AQ39,'[1]5-3. Unit Conversion'!$B$5:$J$13,3,FALSE)*VLOOKUP('Scope 1'!AB39,'[1]5-1. Fuel Density'!$B$6:$D$18,3,FALSE)*1000,IF($AQ39="kg",VLOOKUP('Scope 1'!AQ39,'[1]5-3. Unit Conversion'!$B$16:$G$21,3,FALSE),0)))</f>
        <v>13.6</v>
      </c>
      <c r="AS39" s="35">
        <f>IFERROR(IF($AB39="","",IF(VLOOKUP($AB39,'[1]5-1. Fuel Density'!$B$6:$G$19,6,0)="Use of other GHGs",0,IF($AB39="Industrial Wastes",$AR39*'[1]5-4. Calorific&amp;Emission factor'!$R$75,$AR39*VLOOKUP($AB39,'[1]5-4. Calorific&amp;Emission factor'!$P$9:$R$74,3,FALSE)))),0)</f>
        <v>0</v>
      </c>
      <c r="AT39" s="32">
        <f>IF($AB39="","",IF(OR($AB39="Hydrofluorocarbons(HFCs)",$AB39="ETC"),$AR39*VLOOKUP($J39,'[1]5-4. Calorific&amp;Emission factor'!$B$10:$D$14,3,0)/1000,IF(VLOOKUP($AB39,'[1]5-1. Fuel Density'!$B$6:$G$19,6,0)="Use of other GHGs",$AU39/1000,(($AU39*'[1]5-4. Calorific&amp;Emission factor'!$D$7)+($AV39*'[1]5-4. Calorific&amp;Emission factor'!$D$8)+($AW39*'[1]5-4. Calorific&amp;Emission factor'!$D$9))/1000)))</f>
        <v>26.655999999999999</v>
      </c>
      <c r="AU39" s="33">
        <f>IF($AB39="","",IF(VLOOKUP($AB39,'[1]5-1. Fuel Density'!$B$6:$G$19,6,0)="Use of other GHGs",$AR39*VLOOKUP($AB39,'[1]5-4. Calorific&amp;Emission factor'!$O$9:$Y$74,5,FALSE)/1000000,$AS39*VLOOKUP($AB39,'[1]5-4. Calorific&amp;Emission factor'!$P$9:$Y$74,4,FALSE)/1000000))</f>
        <v>0</v>
      </c>
      <c r="AV39" s="33">
        <f>IF($AB39="","",IF(VLOOKUP($AB39,'[1]5-1. Fuel Density'!$B$6:$G$19,6,0)="Use of other GHGs",0,$AS39*VLOOKUP($AB39,'[1]5-4. Calorific&amp;Emission factor'!$P$9:$Y$74,6,FALSE)/1000000))</f>
        <v>0</v>
      </c>
      <c r="AW39" s="33">
        <f>IF($AB39="","",IF(VLOOKUP($AB39,'[1]5-1. Fuel Density'!$B$6:$G$19,6,0)="Use of other GHGs",0,$AS39*VLOOKUP($AB39,'[1]5-4. Calorific&amp;Emission factor'!$P$9:$Y$74,9,FALSE)/1000000))</f>
        <v>0</v>
      </c>
    </row>
    <row r="40" spans="2:49">
      <c r="B40" s="23">
        <v>35</v>
      </c>
      <c r="C40" s="23" t="s">
        <v>69</v>
      </c>
      <c r="D40" s="23" t="s">
        <v>70</v>
      </c>
      <c r="E40" s="24" t="s">
        <v>77</v>
      </c>
      <c r="F40" s="24" t="s">
        <v>78</v>
      </c>
      <c r="G40" s="24" t="s">
        <v>79</v>
      </c>
      <c r="H40" s="24"/>
      <c r="I40" s="24" t="s">
        <v>80</v>
      </c>
      <c r="J40" s="24" t="s">
        <v>91</v>
      </c>
      <c r="K40" s="36">
        <v>10</v>
      </c>
      <c r="L40" s="27"/>
      <c r="M40" s="27">
        <v>10</v>
      </c>
      <c r="N40" s="27"/>
      <c r="O40" s="27"/>
      <c r="P40" s="27"/>
      <c r="Q40" s="27"/>
      <c r="R40" s="27"/>
      <c r="S40" s="27"/>
      <c r="T40" s="27"/>
      <c r="U40" s="27"/>
      <c r="V40" s="27"/>
      <c r="W40" s="27"/>
      <c r="X40" s="28" t="s">
        <v>59</v>
      </c>
      <c r="Y40" s="23">
        <v>2023</v>
      </c>
      <c r="Z40" s="23" t="str">
        <f>VLOOKUP($E40,'[1]5-2. Emission Facility'!$B$7:$D$16,2,0)</f>
        <v>AC</v>
      </c>
      <c r="AA40" s="23" t="str">
        <f>VLOOKUP($Z40,'[1]5-2. Emission Facility'!$C$7:$D$16,2,0)</f>
        <v>Process Emissions</v>
      </c>
      <c r="AB40" s="23" t="str">
        <f>IF($C40="","",IF(VLOOKUP($C40,'[1]1. General Facility Information'!$C$7:$E$13,3,0)="Korea",'Scope 1'!$I40,INDEX('[1]5-1. Fuel Density'!$B$6:$B$18,MATCH('Scope 1'!$I40,'[1]5-1. Fuel Density'!$C$6:$C$18,0))))</f>
        <v>Hydrofluorocarbons(HFCs)</v>
      </c>
      <c r="AC40" s="23"/>
      <c r="AD40" s="23"/>
      <c r="AE40" s="23"/>
      <c r="AF40" s="23"/>
      <c r="AG40" s="23"/>
      <c r="AH40" s="23"/>
      <c r="AI40" s="23"/>
      <c r="AJ40" s="23"/>
      <c r="AK40" s="23"/>
      <c r="AL40" s="23"/>
      <c r="AM40" s="23"/>
      <c r="AN40" s="23"/>
      <c r="AO40" s="23"/>
      <c r="AP40" s="34">
        <f t="shared" si="3"/>
        <v>10</v>
      </c>
      <c r="AQ40" s="23" t="str">
        <f t="shared" si="4"/>
        <v>kg</v>
      </c>
      <c r="AR40" s="35">
        <f>IF($C40="","",$AP40*IF($AQ40="㎥",VLOOKUP('Scope 1'!AQ40,'[1]5-3. Unit Conversion'!$B$5:$J$13,3,FALSE)*VLOOKUP('Scope 1'!AB40,'[1]5-1. Fuel Density'!$B$6:$D$18,3,FALSE)*1000,IF($AQ40="kg",VLOOKUP('Scope 1'!AQ40,'[1]5-3. Unit Conversion'!$B$16:$G$21,3,FALSE),0)))</f>
        <v>10</v>
      </c>
      <c r="AS40" s="35">
        <f>IFERROR(IF($AB40="","",IF(VLOOKUP($AB40,'[1]5-1. Fuel Density'!$B$6:$G$19,6,0)="Use of other GHGs",0,IF($AB40="Industrial Wastes",$AR40*'[1]5-4. Calorific&amp;Emission factor'!$R$75,$AR40*VLOOKUP($AB40,'[1]5-4. Calorific&amp;Emission factor'!$P$9:$R$74,3,FALSE)))),0)</f>
        <v>0</v>
      </c>
      <c r="AT40" s="32">
        <f>IF($AB40="","",IF(OR($AB40="Hydrofluorocarbons(HFCs)",$AB40="ETC"),$AR40*VLOOKUP($J40,'[1]5-4. Calorific&amp;Emission factor'!$B$10:$D$14,3,0)/1000,IF(VLOOKUP($AB40,'[1]5-1. Fuel Density'!$B$6:$G$19,6,0)="Use of other GHGs",$AU40/1000,(($AU40*'[1]5-4. Calorific&amp;Emission factor'!$D$7)+($AV40*'[1]5-4. Calorific&amp;Emission factor'!$D$8)+($AW40*'[1]5-4. Calorific&amp;Emission factor'!$D$9))/1000)))</f>
        <v>7.71</v>
      </c>
      <c r="AU40" s="33">
        <f>IF($AB40="","",IF(VLOOKUP($AB40,'[1]5-1. Fuel Density'!$B$6:$G$19,6,0)="Use of other GHGs",$AR40*VLOOKUP($AB40,'[1]5-4. Calorific&amp;Emission factor'!$O$9:$Y$74,5,FALSE)/1000000,$AS40*VLOOKUP($AB40,'[1]5-4. Calorific&amp;Emission factor'!$P$9:$Y$74,4,FALSE)/1000000))</f>
        <v>0</v>
      </c>
      <c r="AV40" s="33">
        <f>IF($AB40="","",IF(VLOOKUP($AB40,'[1]5-1. Fuel Density'!$B$6:$G$19,6,0)="Use of other GHGs",0,$AS40*VLOOKUP($AB40,'[1]5-4. Calorific&amp;Emission factor'!$P$9:$Y$74,6,FALSE)/1000000))</f>
        <v>0</v>
      </c>
      <c r="AW40" s="33">
        <f>IF($AB40="","",IF(VLOOKUP($AB40,'[1]5-1. Fuel Density'!$B$6:$G$19,6,0)="Use of other GHGs",0,$AS40*VLOOKUP($AB40,'[1]5-4. Calorific&amp;Emission factor'!$P$9:$Y$74,9,FALSE)/1000000))</f>
        <v>0</v>
      </c>
    </row>
    <row r="41" spans="2:49">
      <c r="B41" s="23">
        <v>36</v>
      </c>
      <c r="C41" s="23" t="s">
        <v>69</v>
      </c>
      <c r="D41" s="23" t="s">
        <v>70</v>
      </c>
      <c r="E41" s="24" t="s">
        <v>84</v>
      </c>
      <c r="F41" s="24" t="s">
        <v>42</v>
      </c>
      <c r="G41" s="24" t="s">
        <v>43</v>
      </c>
      <c r="H41" s="24"/>
      <c r="I41" s="24" t="s">
        <v>85</v>
      </c>
      <c r="J41" s="24" t="s">
        <v>86</v>
      </c>
      <c r="K41" s="36">
        <v>18.694000000000003</v>
      </c>
      <c r="L41" s="27">
        <v>1.377</v>
      </c>
      <c r="M41" s="27">
        <v>1.575</v>
      </c>
      <c r="N41" s="27">
        <v>2.02</v>
      </c>
      <c r="O41" s="27">
        <v>0.91300000000000003</v>
      </c>
      <c r="P41" s="27">
        <v>1.7390000000000001</v>
      </c>
      <c r="Q41" s="27">
        <v>1.78</v>
      </c>
      <c r="R41" s="27">
        <v>1.857</v>
      </c>
      <c r="S41" s="27">
        <v>1.7509999999999999</v>
      </c>
      <c r="T41" s="27">
        <v>1.4710000000000001</v>
      </c>
      <c r="U41" s="27">
        <v>1.393</v>
      </c>
      <c r="V41" s="27">
        <v>1.34</v>
      </c>
      <c r="W41" s="27">
        <v>1.478</v>
      </c>
      <c r="X41" s="28" t="s">
        <v>46</v>
      </c>
      <c r="Y41" s="23">
        <v>2023</v>
      </c>
      <c r="Z41" s="23" t="str">
        <f>VLOOKUP($E41,'[1]5-2. Emission Facility'!$B$7:$D$16,2,0)</f>
        <v>Vehicle</v>
      </c>
      <c r="AA41" s="23" t="str">
        <f>VLOOKUP($Z41,'[1]5-2. Emission Facility'!$C$7:$D$16,2,0)</f>
        <v>Mobile combustion</v>
      </c>
      <c r="AB41" s="23" t="str">
        <f>IF($C41="","",IF(VLOOKUP($C41,'[1]1. General Facility Information'!$C$7:$E$13,3,0)="Korea",'Scope 1'!$I41,INDEX('[1]5-1. Fuel Density'!$B$6:$B$18,MATCH('Scope 1'!$I41,'[1]5-1. Fuel Density'!$C$6:$C$18,0))))</f>
        <v>Automotive gasoline (petrol)</v>
      </c>
      <c r="AC41" s="23">
        <f t="shared" si="1"/>
        <v>1.377</v>
      </c>
      <c r="AD41" s="23">
        <f t="shared" si="5"/>
        <v>1.575</v>
      </c>
      <c r="AE41" s="23">
        <f t="shared" si="5"/>
        <v>2.02</v>
      </c>
      <c r="AF41" s="23">
        <f t="shared" si="5"/>
        <v>0.91300000000000003</v>
      </c>
      <c r="AG41" s="23">
        <f t="shared" si="5"/>
        <v>1.7390000000000001</v>
      </c>
      <c r="AH41" s="23">
        <f t="shared" si="5"/>
        <v>1.78</v>
      </c>
      <c r="AI41" s="23">
        <f t="shared" si="5"/>
        <v>1.857</v>
      </c>
      <c r="AJ41" s="23">
        <f t="shared" si="5"/>
        <v>1.7509999999999999</v>
      </c>
      <c r="AK41" s="23">
        <f t="shared" si="5"/>
        <v>1.4710000000000001</v>
      </c>
      <c r="AL41" s="23">
        <f t="shared" si="5"/>
        <v>1.393</v>
      </c>
      <c r="AM41" s="23">
        <f t="shared" si="5"/>
        <v>1.34</v>
      </c>
      <c r="AN41" s="23">
        <f t="shared" si="5"/>
        <v>1.478</v>
      </c>
      <c r="AO41" s="23" t="str">
        <f t="shared" si="2"/>
        <v/>
      </c>
      <c r="AP41" s="34">
        <f t="shared" si="3"/>
        <v>18.694000000000003</v>
      </c>
      <c r="AQ41" s="23" t="str">
        <f t="shared" si="4"/>
        <v>㎥</v>
      </c>
      <c r="AR41" s="35">
        <f>IF($C41="","",$AP41*IF($AQ41="㎥",VLOOKUP('Scope 1'!AQ41,'[1]5-3. Unit Conversion'!$B$5:$J$13,3,FALSE)*VLOOKUP('Scope 1'!AB41,'[1]5-1. Fuel Density'!$B$6:$D$18,3,FALSE)*1000,IF($AQ41="kg",VLOOKUP('Scope 1'!AQ41,'[1]5-3. Unit Conversion'!$B$16:$G$21,3,FALSE),0)))</f>
        <v>13852.254000000003</v>
      </c>
      <c r="AS41" s="35">
        <f>IFERROR(IF($AB41="","",IF(VLOOKUP($AB41,'[1]5-1. Fuel Density'!$B$6:$G$19,6,0)="Use of other GHGs",0,IF($AB41="Industrial Wastes",$AR41*'[1]5-4. Calorific&amp;Emission factor'!$R$75,$AR41*VLOOKUP($AB41,'[1]5-4. Calorific&amp;Emission factor'!$P$9:$R$74,3,FALSE)))),0)</f>
        <v>613654.85220000008</v>
      </c>
      <c r="AT41" s="32">
        <f>IF($AB41="","",IF(OR($AB41="Hydrofluorocarbons(HFCs)",$AB41="ETC"),$AR41*VLOOKUP($J41,'[1]5-4. Calorific&amp;Emission factor'!$B$10:$D$14,3,0)/1000,IF(VLOOKUP($AB41,'[1]5-1. Fuel Density'!$B$6:$G$19,6,0)="Use of other GHGs",$AU41/1000,(($AU41*'[1]5-4. Calorific&amp;Emission factor'!$D$7)+($AV41*'[1]5-4. Calorific&amp;Emission factor'!$D$8)+($AW41*'[1]5-4. Calorific&amp;Emission factor'!$D$9))/1000)))</f>
        <v>42.67650396527857</v>
      </c>
      <c r="AU41" s="33">
        <f>IF($AB41="","",IF(VLOOKUP($AB41,'[1]5-1. Fuel Density'!$B$6:$G$19,6,0)="Use of other GHGs",$AR41*VLOOKUP($AB41,'[1]5-4. Calorific&amp;Emission factor'!$O$9:$Y$74,5,FALSE)/1000000,$AS41*VLOOKUP($AB41,'[1]5-4. Calorific&amp;Emission factor'!$P$9:$Y$74,4,FALSE)/1000000))</f>
        <v>42526.28125746001</v>
      </c>
      <c r="AV41" s="33">
        <f>IF($AB41="","",IF(VLOOKUP($AB41,'[1]5-1. Fuel Density'!$B$6:$G$19,6,0)="Use of other GHGs",0,$AS41*VLOOKUP($AB41,'[1]5-4. Calorific&amp;Emission factor'!$P$9:$Y$74,6,FALSE)/1000000))</f>
        <v>1.8409645566000001</v>
      </c>
      <c r="AW41" s="33">
        <f>IF($AB41="","",IF(VLOOKUP($AB41,'[1]5-1. Fuel Density'!$B$6:$G$19,6,0)="Use of other GHGs",0,$AS41*VLOOKUP($AB41,'[1]5-4. Calorific&amp;Emission factor'!$P$9:$Y$74,9,FALSE)/1000000))</f>
        <v>0.36819291132000004</v>
      </c>
    </row>
    <row r="42" spans="2:49">
      <c r="B42" s="23">
        <v>37</v>
      </c>
      <c r="C42" s="23" t="s">
        <v>69</v>
      </c>
      <c r="D42" s="23" t="s">
        <v>70</v>
      </c>
      <c r="E42" s="24" t="s">
        <v>84</v>
      </c>
      <c r="F42" s="24" t="s">
        <v>42</v>
      </c>
      <c r="G42" s="24" t="s">
        <v>43</v>
      </c>
      <c r="H42" s="24"/>
      <c r="I42" s="24" t="s">
        <v>85</v>
      </c>
      <c r="J42" s="24" t="s">
        <v>87</v>
      </c>
      <c r="K42" s="36">
        <v>64.393110000000007</v>
      </c>
      <c r="L42" s="27">
        <v>4.7348299999999997</v>
      </c>
      <c r="M42" s="27">
        <v>4.5180599999999993</v>
      </c>
      <c r="N42" s="27">
        <v>6.0499599999999996</v>
      </c>
      <c r="O42" s="27">
        <v>5.2474099999999995</v>
      </c>
      <c r="P42" s="27">
        <v>5.5624000000000002</v>
      </c>
      <c r="Q42" s="27">
        <v>5.823030000000001</v>
      </c>
      <c r="R42" s="27">
        <v>7.5851899999999999</v>
      </c>
      <c r="S42" s="27">
        <v>5.6564200000000007</v>
      </c>
      <c r="T42" s="27">
        <v>5.0960299999999998</v>
      </c>
      <c r="U42" s="27">
        <v>4.5504799999999994</v>
      </c>
      <c r="V42" s="27">
        <v>4.4644600000000008</v>
      </c>
      <c r="W42" s="27">
        <v>5.1048399999999994</v>
      </c>
      <c r="X42" s="28" t="s">
        <v>46</v>
      </c>
      <c r="Y42" s="23">
        <v>2023</v>
      </c>
      <c r="Z42" s="23" t="str">
        <f>VLOOKUP($E42,'[1]5-2. Emission Facility'!$B$7:$D$16,2,0)</f>
        <v>Vehicle</v>
      </c>
      <c r="AA42" s="23" t="str">
        <f>VLOOKUP($Z42,'[1]5-2. Emission Facility'!$C$7:$D$16,2,0)</f>
        <v>Mobile combustion</v>
      </c>
      <c r="AB42" s="23" t="str">
        <f>IF($C42="","",IF(VLOOKUP($C42,'[1]1. General Facility Information'!$C$7:$E$13,3,0)="Korea",'Scope 1'!$I42,INDEX('[1]5-1. Fuel Density'!$B$6:$B$18,MATCH('Scope 1'!$I42,'[1]5-1. Fuel Density'!$C$6:$C$18,0))))</f>
        <v>Automotive gasoline (petrol)</v>
      </c>
      <c r="AC42" s="23">
        <f t="shared" si="1"/>
        <v>4.7348299999999997</v>
      </c>
      <c r="AD42" s="23">
        <f t="shared" si="5"/>
        <v>4.5180599999999993</v>
      </c>
      <c r="AE42" s="23">
        <f t="shared" si="5"/>
        <v>6.0499599999999996</v>
      </c>
      <c r="AF42" s="23">
        <f t="shared" si="5"/>
        <v>5.2474099999999995</v>
      </c>
      <c r="AG42" s="23">
        <f t="shared" si="5"/>
        <v>5.5624000000000002</v>
      </c>
      <c r="AH42" s="23">
        <f t="shared" si="5"/>
        <v>5.823030000000001</v>
      </c>
      <c r="AI42" s="23">
        <f t="shared" si="5"/>
        <v>7.5851899999999999</v>
      </c>
      <c r="AJ42" s="23">
        <f t="shared" si="5"/>
        <v>5.6564200000000007</v>
      </c>
      <c r="AK42" s="23">
        <f t="shared" si="5"/>
        <v>5.0960299999999998</v>
      </c>
      <c r="AL42" s="23">
        <f t="shared" si="5"/>
        <v>4.5504799999999994</v>
      </c>
      <c r="AM42" s="23">
        <f t="shared" si="5"/>
        <v>4.4644600000000008</v>
      </c>
      <c r="AN42" s="23">
        <f t="shared" si="5"/>
        <v>5.1048399999999994</v>
      </c>
      <c r="AO42" s="23" t="str">
        <f t="shared" si="2"/>
        <v/>
      </c>
      <c r="AP42" s="34">
        <f t="shared" si="3"/>
        <v>64.393110000000007</v>
      </c>
      <c r="AQ42" s="23" t="str">
        <f t="shared" si="4"/>
        <v>㎥</v>
      </c>
      <c r="AR42" s="35">
        <f>IF($C42="","",$AP42*IF($AQ42="㎥",VLOOKUP('Scope 1'!AQ42,'[1]5-3. Unit Conversion'!$B$5:$J$13,3,FALSE)*VLOOKUP('Scope 1'!AB42,'[1]5-1. Fuel Density'!$B$6:$D$18,3,FALSE)*1000,IF($AQ42="kg",VLOOKUP('Scope 1'!AQ42,'[1]5-3. Unit Conversion'!$B$16:$G$21,3,FALSE),0)))</f>
        <v>47715.294510000007</v>
      </c>
      <c r="AS42" s="35">
        <f>IFERROR(IF($AB42="","",IF(VLOOKUP($AB42,'[1]5-1. Fuel Density'!$B$6:$G$19,6,0)="Use of other GHGs",0,IF($AB42="Industrial Wastes",$AR42*'[1]5-4. Calorific&amp;Emission factor'!$R$75,$AR42*VLOOKUP($AB42,'[1]5-4. Calorific&amp;Emission factor'!$P$9:$R$74,3,FALSE)))),0)</f>
        <v>2113787.5467930003</v>
      </c>
      <c r="AT42" s="32">
        <f>IF($AB42="","",IF(OR($AB42="Hydrofluorocarbons(HFCs)",$AB42="ETC"),$AR42*VLOOKUP($J42,'[1]5-4. Calorific&amp;Emission factor'!$B$10:$D$14,3,0)/1000,IF(VLOOKUP($AB42,'[1]5-1. Fuel Density'!$B$6:$G$19,6,0)="Use of other GHGs",$AU42/1000,(($AU42*'[1]5-4. Calorific&amp;Emission factor'!$D$7)+($AV42*'[1]5-4. Calorific&amp;Emission factor'!$D$8)+($AW42*'[1]5-4. Calorific&amp;Emission factor'!$D$9))/1000)))</f>
        <v>147.00293218420984</v>
      </c>
      <c r="AU42" s="33">
        <f>IF($AB42="","",IF(VLOOKUP($AB42,'[1]5-1. Fuel Density'!$B$6:$G$19,6,0)="Use of other GHGs",$AR42*VLOOKUP($AB42,'[1]5-4. Calorific&amp;Emission factor'!$O$9:$Y$74,5,FALSE)/1000000,$AS42*VLOOKUP($AB42,'[1]5-4. Calorific&amp;Emission factor'!$P$9:$Y$74,4,FALSE)/1000000))</f>
        <v>146485.47699275491</v>
      </c>
      <c r="AV42" s="33">
        <f>IF($AB42="","",IF(VLOOKUP($AB42,'[1]5-1. Fuel Density'!$B$6:$G$19,6,0)="Use of other GHGs",0,$AS42*VLOOKUP($AB42,'[1]5-4. Calorific&amp;Emission factor'!$P$9:$Y$74,6,FALSE)/1000000))</f>
        <v>6.3413626403790007</v>
      </c>
      <c r="AW42" s="33">
        <f>IF($AB42="","",IF(VLOOKUP($AB42,'[1]5-1. Fuel Density'!$B$6:$G$19,6,0)="Use of other GHGs",0,$AS42*VLOOKUP($AB42,'[1]5-4. Calorific&amp;Emission factor'!$P$9:$Y$74,9,FALSE)/1000000))</f>
        <v>1.2682725280758</v>
      </c>
    </row>
    <row r="43" spans="2:49">
      <c r="B43" s="23">
        <v>38</v>
      </c>
      <c r="C43" s="23" t="s">
        <v>69</v>
      </c>
      <c r="D43" s="23" t="s">
        <v>88</v>
      </c>
      <c r="E43" s="24" t="s">
        <v>71</v>
      </c>
      <c r="F43" s="24" t="s">
        <v>42</v>
      </c>
      <c r="G43" s="24" t="s">
        <v>72</v>
      </c>
      <c r="H43" s="24"/>
      <c r="I43" s="24" t="s">
        <v>67</v>
      </c>
      <c r="J43" s="24" t="s">
        <v>89</v>
      </c>
      <c r="K43" s="36">
        <v>1393.88</v>
      </c>
      <c r="L43" s="27">
        <v>147.44999999999999</v>
      </c>
      <c r="M43" s="27">
        <v>122.88</v>
      </c>
      <c r="N43" s="27">
        <v>147.44999999999999</v>
      </c>
      <c r="O43" s="27">
        <v>98.3</v>
      </c>
      <c r="P43" s="27"/>
      <c r="Q43" s="27">
        <v>147.44999999999999</v>
      </c>
      <c r="R43" s="27">
        <v>144</v>
      </c>
      <c r="S43" s="27">
        <v>147.44999999999999</v>
      </c>
      <c r="T43" s="27"/>
      <c r="U43" s="27">
        <v>144</v>
      </c>
      <c r="V43" s="27">
        <v>147.44999999999999</v>
      </c>
      <c r="W43" s="27">
        <v>147.44999999999999</v>
      </c>
      <c r="X43" s="28" t="s">
        <v>59</v>
      </c>
      <c r="Y43" s="23">
        <v>2023</v>
      </c>
      <c r="Z43" s="23" t="str">
        <f>VLOOKUP($E43,'[1]5-2. Emission Facility'!$B$7:$D$16,2,0)</f>
        <v>Mess</v>
      </c>
      <c r="AA43" s="23" t="str">
        <f>VLOOKUP($Z43,'[1]5-2. Emission Facility'!$C$7:$D$16,2,0)</f>
        <v>Others</v>
      </c>
      <c r="AB43" s="23" t="str">
        <f>IF($C43="","",IF(VLOOKUP($C43,'[1]1. General Facility Information'!$C$7:$E$13,3,0)="Korea",'Scope 1'!$I43,INDEX('[1]5-1. Fuel Density'!$B$6:$B$18,MATCH('Scope 1'!$I43,'[1]5-1. Fuel Density'!$C$6:$C$18,0))))</f>
        <v>Liquefied Petroleum Gas (LPG)</v>
      </c>
      <c r="AC43" s="23">
        <f t="shared" si="1"/>
        <v>147.44999999999999</v>
      </c>
      <c r="AD43" s="23">
        <f t="shared" si="5"/>
        <v>122.88</v>
      </c>
      <c r="AE43" s="23">
        <f t="shared" si="5"/>
        <v>147.44999999999999</v>
      </c>
      <c r="AF43" s="23">
        <f t="shared" si="5"/>
        <v>98.3</v>
      </c>
      <c r="AG43" s="23">
        <f t="shared" si="5"/>
        <v>0</v>
      </c>
      <c r="AH43" s="23">
        <f t="shared" si="5"/>
        <v>147.44999999999999</v>
      </c>
      <c r="AI43" s="23">
        <f t="shared" si="5"/>
        <v>144</v>
      </c>
      <c r="AJ43" s="23">
        <f t="shared" si="5"/>
        <v>147.44999999999999</v>
      </c>
      <c r="AK43" s="23">
        <f t="shared" si="5"/>
        <v>0</v>
      </c>
      <c r="AL43" s="23">
        <f t="shared" si="5"/>
        <v>144</v>
      </c>
      <c r="AM43" s="23">
        <f t="shared" si="5"/>
        <v>147.44999999999999</v>
      </c>
      <c r="AN43" s="23">
        <f t="shared" si="5"/>
        <v>147.44999999999999</v>
      </c>
      <c r="AO43" s="23" t="str">
        <f t="shared" si="2"/>
        <v/>
      </c>
      <c r="AP43" s="34">
        <f t="shared" si="3"/>
        <v>1393.88</v>
      </c>
      <c r="AQ43" s="23" t="str">
        <f t="shared" si="4"/>
        <v>kg</v>
      </c>
      <c r="AR43" s="35">
        <f>IF($C43="","",$AP43*IF($AQ43="㎥",VLOOKUP('Scope 1'!AQ43,'[1]5-3. Unit Conversion'!$B$5:$J$13,3,FALSE)*VLOOKUP('Scope 1'!AB43,'[1]5-1. Fuel Density'!$B$6:$D$18,3,FALSE)*1000,IF($AQ43="kg",VLOOKUP('Scope 1'!AQ43,'[1]5-3. Unit Conversion'!$B$16:$G$21,3,FALSE),0)))</f>
        <v>1393.88</v>
      </c>
      <c r="AS43" s="35">
        <f>IFERROR(IF($AB43="","",IF(VLOOKUP($AB43,'[1]5-1. Fuel Density'!$B$6:$G$19,6,0)="Use of other GHGs",0,IF($AB43="Industrial Wastes",$AR43*'[1]5-4. Calorific&amp;Emission factor'!$R$75,$AR43*VLOOKUP($AB43,'[1]5-4. Calorific&amp;Emission factor'!$P$9:$R$74,3,FALSE)))),0)</f>
        <v>65930.524000000005</v>
      </c>
      <c r="AT43" s="32">
        <f>IF($AB43="","",IF(OR($AB43="Hydrofluorocarbons(HFCs)",$AB43="ETC"),$AR43*VLOOKUP($J43,'[1]5-4. Calorific&amp;Emission factor'!$B$10:$D$14,3,0)/1000,IF(VLOOKUP($AB43,'[1]5-1. Fuel Density'!$B$6:$G$19,6,0)="Use of other GHGs",$AU43/1000,(($AU43*'[1]5-4. Calorific&amp;Emission factor'!$D$7)+($AV43*'[1]5-4. Calorific&amp;Emission factor'!$D$8)+($AW43*'[1]5-4. Calorific&amp;Emission factor'!$D$9))/1000)))</f>
        <v>4.1637960918532011</v>
      </c>
      <c r="AU43" s="33">
        <f>IF($AB43="","",IF(VLOOKUP($AB43,'[1]5-1. Fuel Density'!$B$6:$G$19,6,0)="Use of other GHGs",$AR43*VLOOKUP($AB43,'[1]5-4. Calorific&amp;Emission factor'!$O$9:$Y$74,5,FALSE)/1000000,$AS43*VLOOKUP($AB43,'[1]5-4. Calorific&amp;Emission factor'!$P$9:$Y$74,4,FALSE)/1000000))</f>
        <v>4160.2160644000005</v>
      </c>
      <c r="AV43" s="33">
        <f>IF($AB43="","",IF(VLOOKUP($AB43,'[1]5-1. Fuel Density'!$B$6:$G$19,6,0)="Use of other GHGs",0,$AS43*VLOOKUP($AB43,'[1]5-4. Calorific&amp;Emission factor'!$P$9:$Y$74,6,FALSE)/1000000))</f>
        <v>6.5930524000000004E-2</v>
      </c>
      <c r="AW43" s="33">
        <f>IF($AB43="","",IF(VLOOKUP($AB43,'[1]5-1. Fuel Density'!$B$6:$G$19,6,0)="Use of other GHGs",0,$AS43*VLOOKUP($AB43,'[1]5-4. Calorific&amp;Emission factor'!$P$9:$Y$74,9,FALSE)/1000000))</f>
        <v>6.5930524000000004E-3</v>
      </c>
    </row>
    <row r="44" spans="2:49">
      <c r="B44" s="23">
        <v>39</v>
      </c>
      <c r="C44" s="23" t="s">
        <v>69</v>
      </c>
      <c r="D44" s="23" t="s">
        <v>88</v>
      </c>
      <c r="E44" s="24" t="s">
        <v>73</v>
      </c>
      <c r="F44" s="24" t="s">
        <v>42</v>
      </c>
      <c r="G44" s="24" t="s">
        <v>72</v>
      </c>
      <c r="H44" s="24"/>
      <c r="I44" s="24" t="s">
        <v>74</v>
      </c>
      <c r="J44" s="24" t="s">
        <v>75</v>
      </c>
      <c r="K44" s="36">
        <v>36.625</v>
      </c>
      <c r="L44" s="27">
        <v>2.4500000000000002</v>
      </c>
      <c r="M44" s="27">
        <v>0.5</v>
      </c>
      <c r="N44" s="27">
        <v>2.9</v>
      </c>
      <c r="O44" s="27">
        <v>1.4</v>
      </c>
      <c r="P44" s="27">
        <v>0.625</v>
      </c>
      <c r="Q44" s="27">
        <v>10.6</v>
      </c>
      <c r="R44" s="27">
        <v>2.4249999999999998</v>
      </c>
      <c r="S44" s="27">
        <v>0.5</v>
      </c>
      <c r="T44" s="27">
        <v>0.5</v>
      </c>
      <c r="U44" s="27">
        <v>7.7249999999999996</v>
      </c>
      <c r="V44" s="27">
        <v>6.4</v>
      </c>
      <c r="W44" s="27">
        <v>0.6</v>
      </c>
      <c r="X44" s="28" t="s">
        <v>46</v>
      </c>
      <c r="Y44" s="23">
        <v>2023</v>
      </c>
      <c r="Z44" s="23" t="str">
        <f>VLOOKUP($E44,'[1]5-2. Emission Facility'!$B$7:$D$16,2,0)</f>
        <v>Generator</v>
      </c>
      <c r="AA44" s="23" t="str">
        <f>VLOOKUP($Z44,'[1]5-2. Emission Facility'!$C$7:$D$16,2,0)</f>
        <v>Stationary Combustion</v>
      </c>
      <c r="AB44" s="23" t="str">
        <f>IF($C44="","",IF(VLOOKUP($C44,'[1]1. General Facility Information'!$C$7:$E$13,3,0)="Korea",'Scope 1'!$I44,INDEX('[1]5-1. Fuel Density'!$B$6:$B$18,MATCH('Scope 1'!$I44,'[1]5-1. Fuel Density'!$C$6:$C$18,0))))</f>
        <v>Gas / Diesel oil</v>
      </c>
      <c r="AC44" s="23">
        <f t="shared" si="1"/>
        <v>2.4500000000000002</v>
      </c>
      <c r="AD44" s="23">
        <f t="shared" si="5"/>
        <v>0.5</v>
      </c>
      <c r="AE44" s="23">
        <f t="shared" si="5"/>
        <v>2.9</v>
      </c>
      <c r="AF44" s="23">
        <f t="shared" si="5"/>
        <v>1.4</v>
      </c>
      <c r="AG44" s="23">
        <f t="shared" si="5"/>
        <v>0.625</v>
      </c>
      <c r="AH44" s="23">
        <f t="shared" si="5"/>
        <v>10.6</v>
      </c>
      <c r="AI44" s="23">
        <f t="shared" si="5"/>
        <v>2.4249999999999998</v>
      </c>
      <c r="AJ44" s="23">
        <f t="shared" si="5"/>
        <v>0.5</v>
      </c>
      <c r="AK44" s="23">
        <f t="shared" si="5"/>
        <v>0.5</v>
      </c>
      <c r="AL44" s="23">
        <f t="shared" si="5"/>
        <v>7.7249999999999996</v>
      </c>
      <c r="AM44" s="23">
        <f t="shared" si="5"/>
        <v>6.4</v>
      </c>
      <c r="AN44" s="23">
        <f t="shared" si="5"/>
        <v>0.6</v>
      </c>
      <c r="AO44" s="23" t="str">
        <f t="shared" si="2"/>
        <v/>
      </c>
      <c r="AP44" s="34">
        <f t="shared" si="3"/>
        <v>36.625</v>
      </c>
      <c r="AQ44" s="23" t="str">
        <f t="shared" si="4"/>
        <v>㎥</v>
      </c>
      <c r="AR44" s="35">
        <f>IF($C44="","",$AP44*IF($AQ44="㎥",VLOOKUP('Scope 1'!AQ44,'[1]5-3. Unit Conversion'!$B$5:$J$13,3,FALSE)*VLOOKUP('Scope 1'!AB44,'[1]5-1. Fuel Density'!$B$6:$D$18,3,FALSE)*1000,IF($AQ44="kg",VLOOKUP('Scope 1'!AQ44,'[1]5-3. Unit Conversion'!$B$16:$G$21,3,FALSE),0)))</f>
        <v>30911.5</v>
      </c>
      <c r="AS44" s="35">
        <f>IFERROR(IF($AB44="","",IF(VLOOKUP($AB44,'[1]5-1. Fuel Density'!$B$6:$G$19,6,0)="Use of other GHGs",0,IF($AB44="Industrial Wastes",$AR44*'[1]5-4. Calorific&amp;Emission factor'!$R$75,$AR44*VLOOKUP($AB44,'[1]5-4. Calorific&amp;Emission factor'!$P$9:$R$74,3,FALSE)))),0)</f>
        <v>1329194.5</v>
      </c>
      <c r="AT44" s="32">
        <f>IF($AB44="","",IF(OR($AB44="Hydrofluorocarbons(HFCs)",$AB44="ETC"),$AR44*VLOOKUP($J44,'[1]5-4. Calorific&amp;Emission factor'!$B$10:$D$14,3,0)/1000,IF(VLOOKUP($AB44,'[1]5-1. Fuel Density'!$B$6:$G$19,6,0)="Use of other GHGs",$AU44/1000,(($AU44*'[1]5-4. Calorific&amp;Emission factor'!$D$7)+($AV44*'[1]5-4. Calorific&amp;Emission factor'!$D$8)+($AW44*'[1]5-4. Calorific&amp;Emission factor'!$D$9))/1000)))</f>
        <v>98.818699263599996</v>
      </c>
      <c r="AU44" s="33">
        <f>IF($AB44="","",IF(VLOOKUP($AB44,'[1]5-1. Fuel Density'!$B$6:$G$19,6,0)="Use of other GHGs",$AR44*VLOOKUP($AB44,'[1]5-4. Calorific&amp;Emission factor'!$O$9:$Y$74,5,FALSE)/1000000,$AS44*VLOOKUP($AB44,'[1]5-4. Calorific&amp;Emission factor'!$P$9:$Y$74,4,FALSE)/1000000))</f>
        <v>98493.312449999998</v>
      </c>
      <c r="AV44" s="33">
        <f>IF($AB44="","",IF(VLOOKUP($AB44,'[1]5-1. Fuel Density'!$B$6:$G$19,6,0)="Use of other GHGs",0,$AS44*VLOOKUP($AB44,'[1]5-4. Calorific&amp;Emission factor'!$P$9:$Y$74,6,FALSE)/1000000))</f>
        <v>3.9875834999999999</v>
      </c>
      <c r="AW44" s="33">
        <f>IF($AB44="","",IF(VLOOKUP($AB44,'[1]5-1. Fuel Density'!$B$6:$G$19,6,0)="Use of other GHGs",0,$AS44*VLOOKUP($AB44,'[1]5-4. Calorific&amp;Emission factor'!$P$9:$Y$74,9,FALSE)/1000000))</f>
        <v>0.79751669999999997</v>
      </c>
    </row>
    <row r="45" spans="2:49">
      <c r="B45" s="23">
        <v>40</v>
      </c>
      <c r="C45" s="23" t="s">
        <v>69</v>
      </c>
      <c r="D45" s="23" t="s">
        <v>88</v>
      </c>
      <c r="E45" s="24" t="s">
        <v>54</v>
      </c>
      <c r="F45" s="24" t="s">
        <v>42</v>
      </c>
      <c r="G45" s="24" t="s">
        <v>72</v>
      </c>
      <c r="H45" s="24"/>
      <c r="I45" s="24" t="s">
        <v>57</v>
      </c>
      <c r="J45" s="24" t="s">
        <v>76</v>
      </c>
      <c r="K45" s="36">
        <v>597806.05819095008</v>
      </c>
      <c r="L45" s="27">
        <v>47367.385481999932</v>
      </c>
      <c r="M45" s="27">
        <v>53727.188098499886</v>
      </c>
      <c r="N45" s="27">
        <v>57060.645153299956</v>
      </c>
      <c r="O45" s="27">
        <v>29822.15837039999</v>
      </c>
      <c r="P45" s="27">
        <v>60202.797401699994</v>
      </c>
      <c r="Q45" s="27">
        <v>63170.110740450182</v>
      </c>
      <c r="R45" s="27">
        <v>60968.885901000234</v>
      </c>
      <c r="S45" s="27">
        <v>45658.959253349938</v>
      </c>
      <c r="T45" s="27">
        <v>44183.402706299938</v>
      </c>
      <c r="U45" s="27">
        <v>56046.530839874962</v>
      </c>
      <c r="V45" s="27">
        <v>37346.647707449934</v>
      </c>
      <c r="W45" s="27">
        <v>42251.346536625038</v>
      </c>
      <c r="X45" s="28" t="s">
        <v>59</v>
      </c>
      <c r="Y45" s="23">
        <v>2023</v>
      </c>
      <c r="Z45" s="23" t="str">
        <f>VLOOKUP($E45,'[1]5-2. Emission Facility'!$B$7:$D$16,2,0)</f>
        <v>Boiler</v>
      </c>
      <c r="AA45" s="23" t="str">
        <f>VLOOKUP($Z45,'[1]5-2. Emission Facility'!$C$7:$D$16,2,0)</f>
        <v>Stationary Combustion</v>
      </c>
      <c r="AB45" s="23" t="str">
        <f>IF($C45="","",IF(VLOOKUP($C45,'[1]1. General Facility Information'!$C$7:$E$13,3,0)="Korea",'Scope 1'!$I45,INDEX('[1]5-1. Fuel Density'!$B$6:$B$18,MATCH('Scope 1'!$I45,'[1]5-1. Fuel Density'!$C$6:$C$18,0))))</f>
        <v>Industrial Wastes</v>
      </c>
      <c r="AC45" s="23">
        <f t="shared" si="1"/>
        <v>47367.385481999932</v>
      </c>
      <c r="AD45" s="23">
        <f t="shared" si="5"/>
        <v>53727.188098499886</v>
      </c>
      <c r="AE45" s="23">
        <f t="shared" si="5"/>
        <v>57060.645153299956</v>
      </c>
      <c r="AF45" s="23">
        <f t="shared" si="5"/>
        <v>29822.15837039999</v>
      </c>
      <c r="AG45" s="23">
        <f t="shared" si="5"/>
        <v>60202.797401699994</v>
      </c>
      <c r="AH45" s="23">
        <f t="shared" si="5"/>
        <v>63170.110740450182</v>
      </c>
      <c r="AI45" s="23">
        <f t="shared" si="5"/>
        <v>60968.885901000234</v>
      </c>
      <c r="AJ45" s="23">
        <f t="shared" si="5"/>
        <v>45658.959253349938</v>
      </c>
      <c r="AK45" s="23">
        <f t="shared" si="5"/>
        <v>44183.402706299938</v>
      </c>
      <c r="AL45" s="23">
        <f t="shared" si="5"/>
        <v>56046.530839874962</v>
      </c>
      <c r="AM45" s="23">
        <f t="shared" si="5"/>
        <v>37346.647707449934</v>
      </c>
      <c r="AN45" s="23">
        <f t="shared" si="5"/>
        <v>42251.346536625038</v>
      </c>
      <c r="AO45" s="23" t="str">
        <f t="shared" si="2"/>
        <v/>
      </c>
      <c r="AP45" s="34">
        <f t="shared" si="3"/>
        <v>597806.05819095008</v>
      </c>
      <c r="AQ45" s="23" t="str">
        <f t="shared" si="4"/>
        <v>kg</v>
      </c>
      <c r="AR45" s="35">
        <f>IF($C45="","",$AP45*IF($AQ45="㎥",VLOOKUP('Scope 1'!AQ45,'[1]5-3. Unit Conversion'!$B$5:$J$13,3,FALSE)*VLOOKUP('Scope 1'!AB45,'[1]5-1. Fuel Density'!$B$6:$D$18,3,FALSE)*1000,IF($AQ45="kg",VLOOKUP('Scope 1'!AQ45,'[1]5-3. Unit Conversion'!$B$16:$G$21,3,FALSE),0)))</f>
        <v>597806.05819095008</v>
      </c>
      <c r="AS45" s="35">
        <f>IFERROR(IF($AB45="","",IF(VLOOKUP($AB45,'[1]5-1. Fuel Density'!$B$6:$G$19,6,0)="Use of other GHGs",0,IF($AB45="Industrial Wastes",$AR45*'[1]5-4. Calorific&amp;Emission factor'!$R$75,$AR45*VLOOKUP($AB45,'[1]5-4. Calorific&amp;Emission factor'!$P$9:$R$74,3,FALSE)))),0)</f>
        <v>13006356.077147469</v>
      </c>
      <c r="AT45" s="32">
        <f>IF($AB45="","",IF(OR($AB45="Hydrofluorocarbons(HFCs)",$AB45="ETC"),$AR45*VLOOKUP($J45,'[1]5-4. Calorific&amp;Emission factor'!$B$10:$D$14,3,0)/1000,IF(VLOOKUP($AB45,'[1]5-1. Fuel Density'!$B$6:$G$19,6,0)="Use of other GHGs",$AU45/1000,(($AU45*'[1]5-4. Calorific&amp;Emission factor'!$D$7)+($AV45*'[1]5-4. Calorific&amp;Emission factor'!$D$8)+($AW45*'[1]5-4. Calorific&amp;Emission factor'!$D$9))/1000)))</f>
        <v>1884.6470082908227</v>
      </c>
      <c r="AU45" s="33">
        <f>IF($AB45="","",IF(VLOOKUP($AB45,'[1]5-1. Fuel Density'!$B$6:$G$19,6,0)="Use of other GHGs",$AR45*VLOOKUP($AB45,'[1]5-4. Calorific&amp;Emission factor'!$O$9:$Y$74,5,FALSE)/1000000,$AS45*VLOOKUP($AB45,'[1]5-4. Calorific&amp;Emission factor'!$P$9:$Y$74,4,FALSE)/1000000))</f>
        <v>1859908.9190320882</v>
      </c>
      <c r="AV45" s="33">
        <f>IF($AB45="","",IF(VLOOKUP($AB45,'[1]5-1. Fuel Density'!$B$6:$G$19,6,0)="Use of other GHGs",0,$AS45*VLOOKUP($AB45,'[1]5-4. Calorific&amp;Emission factor'!$P$9:$Y$74,6,FALSE)/1000000))</f>
        <v>390.19068231442407</v>
      </c>
      <c r="AW45" s="33">
        <f>IF($AB45="","",IF(VLOOKUP($AB45,'[1]5-1. Fuel Density'!$B$6:$G$19,6,0)="Use of other GHGs",0,$AS45*VLOOKUP($AB45,'[1]5-4. Calorific&amp;Emission factor'!$P$9:$Y$74,9,FALSE)/1000000))</f>
        <v>52.025424308589876</v>
      </c>
    </row>
    <row r="46" spans="2:49">
      <c r="B46" s="23">
        <v>41</v>
      </c>
      <c r="C46" s="23" t="s">
        <v>69</v>
      </c>
      <c r="D46" s="23" t="s">
        <v>88</v>
      </c>
      <c r="E46" s="24" t="s">
        <v>77</v>
      </c>
      <c r="F46" s="24" t="s">
        <v>78</v>
      </c>
      <c r="G46" s="24" t="s">
        <v>79</v>
      </c>
      <c r="H46" s="24"/>
      <c r="I46" s="24" t="s">
        <v>80</v>
      </c>
      <c r="J46" s="38" t="s">
        <v>81</v>
      </c>
      <c r="K46" s="36">
        <v>56.500000000000007</v>
      </c>
      <c r="L46" s="27"/>
      <c r="M46" s="27"/>
      <c r="N46" s="27"/>
      <c r="O46" s="27">
        <v>11.3</v>
      </c>
      <c r="P46" s="27"/>
      <c r="Q46" s="27">
        <v>11.3</v>
      </c>
      <c r="R46" s="27"/>
      <c r="S46" s="27"/>
      <c r="T46" s="27">
        <v>11.3</v>
      </c>
      <c r="U46" s="27"/>
      <c r="V46" s="27">
        <v>22.6</v>
      </c>
      <c r="W46" s="27"/>
      <c r="X46" s="28" t="s">
        <v>59</v>
      </c>
      <c r="Y46" s="23">
        <v>2023</v>
      </c>
      <c r="Z46" s="23" t="str">
        <f>VLOOKUP($E46,'[1]5-2. Emission Facility'!$B$7:$D$16,2,0)</f>
        <v>AC</v>
      </c>
      <c r="AA46" s="23" t="str">
        <f>VLOOKUP($Z46,'[1]5-2. Emission Facility'!$C$7:$D$16,2,0)</f>
        <v>Process Emissions</v>
      </c>
      <c r="AB46" s="23" t="str">
        <f>IF($C46="","",IF(VLOOKUP($C46,'[1]1. General Facility Information'!$C$7:$E$13,3,0)="Korea",'Scope 1'!$I46,INDEX('[1]5-1. Fuel Density'!$B$6:$B$18,MATCH('Scope 1'!$I46,'[1]5-1. Fuel Density'!$C$6:$C$18,0))))</f>
        <v>Hydrofluorocarbons(HFCs)</v>
      </c>
      <c r="AC46" s="23">
        <f t="shared" si="1"/>
        <v>0</v>
      </c>
      <c r="AD46" s="23">
        <f t="shared" si="5"/>
        <v>0</v>
      </c>
      <c r="AE46" s="23">
        <f t="shared" si="5"/>
        <v>0</v>
      </c>
      <c r="AF46" s="23">
        <f t="shared" si="5"/>
        <v>11.3</v>
      </c>
      <c r="AG46" s="23">
        <f t="shared" si="5"/>
        <v>0</v>
      </c>
      <c r="AH46" s="23">
        <f t="shared" si="5"/>
        <v>11.3</v>
      </c>
      <c r="AI46" s="23">
        <f t="shared" si="5"/>
        <v>0</v>
      </c>
      <c r="AJ46" s="23">
        <f t="shared" si="5"/>
        <v>0</v>
      </c>
      <c r="AK46" s="23">
        <f t="shared" si="5"/>
        <v>11.3</v>
      </c>
      <c r="AL46" s="23">
        <f t="shared" si="5"/>
        <v>0</v>
      </c>
      <c r="AM46" s="23">
        <f t="shared" si="5"/>
        <v>22.6</v>
      </c>
      <c r="AN46" s="23">
        <f t="shared" si="5"/>
        <v>0</v>
      </c>
      <c r="AO46" s="23" t="str">
        <f t="shared" si="2"/>
        <v/>
      </c>
      <c r="AP46" s="34">
        <f t="shared" si="3"/>
        <v>56.500000000000007</v>
      </c>
      <c r="AQ46" s="23" t="str">
        <f t="shared" si="4"/>
        <v>kg</v>
      </c>
      <c r="AR46" s="35">
        <f>IF($C46="","",$AP46*IF($AQ46="㎥",VLOOKUP('Scope 1'!AQ46,'[1]5-3. Unit Conversion'!$B$5:$J$13,3,FALSE)*VLOOKUP('Scope 1'!AB46,'[1]5-1. Fuel Density'!$B$6:$D$18,3,FALSE)*1000,IF($AQ46="kg",VLOOKUP('Scope 1'!AQ46,'[1]5-3. Unit Conversion'!$B$16:$G$21,3,FALSE),0)))</f>
        <v>56.500000000000007</v>
      </c>
      <c r="AS46" s="35">
        <f>IFERROR(IF($AB46="","",IF(VLOOKUP($AB46,'[1]5-1. Fuel Density'!$B$6:$G$19,6,0)="Use of other GHGs",0,IF($AB46="Industrial Wastes",$AR46*'[1]5-4. Calorific&amp;Emission factor'!$R$75,$AR46*VLOOKUP($AB46,'[1]5-4. Calorific&amp;Emission factor'!$P$9:$R$74,3,FALSE)))),0)</f>
        <v>0</v>
      </c>
      <c r="AT46" s="32">
        <f>IF($AB46="","",IF(OR($AB46="Hydrofluorocarbons(HFCs)",$AB46="ETC"),$AR46*VLOOKUP($J46,'[1]5-4. Calorific&amp;Emission factor'!$B$10:$D$14,3,0)/1000,IF(VLOOKUP($AB46,'[1]5-1. Fuel Density'!$B$6:$G$19,6,0)="Use of other GHGs",$AU46/1000,(($AU46*'[1]5-4. Calorific&amp;Emission factor'!$D$7)+($AV46*'[1]5-4. Calorific&amp;Emission factor'!$D$8)+($AW46*'[1]5-4. Calorific&amp;Emission factor'!$D$9))/1000)))</f>
        <v>127.43575000000001</v>
      </c>
      <c r="AU46" s="33">
        <f>IF($AB46="","",IF(VLOOKUP($AB46,'[1]5-1. Fuel Density'!$B$6:$G$19,6,0)="Use of other GHGs",$AR46*VLOOKUP($AB46,'[1]5-4. Calorific&amp;Emission factor'!$O$9:$Y$74,5,FALSE)/1000000,$AS46*VLOOKUP($AB46,'[1]5-4. Calorific&amp;Emission factor'!$P$9:$Y$74,4,FALSE)/1000000))</f>
        <v>0</v>
      </c>
      <c r="AV46" s="33">
        <f>IF($AB46="","",IF(VLOOKUP($AB46,'[1]5-1. Fuel Density'!$B$6:$G$19,6,0)="Use of other GHGs",0,$AS46*VLOOKUP($AB46,'[1]5-4. Calorific&amp;Emission factor'!$P$9:$Y$74,6,FALSE)/1000000))</f>
        <v>0</v>
      </c>
      <c r="AW46" s="33">
        <f>IF($AB46="","",IF(VLOOKUP($AB46,'[1]5-1. Fuel Density'!$B$6:$G$19,6,0)="Use of other GHGs",0,$AS46*VLOOKUP($AB46,'[1]5-4. Calorific&amp;Emission factor'!$P$9:$Y$74,9,FALSE)/1000000))</f>
        <v>0</v>
      </c>
    </row>
    <row r="47" spans="2:49">
      <c r="B47" s="23">
        <v>42</v>
      </c>
      <c r="C47" s="23" t="s">
        <v>69</v>
      </c>
      <c r="D47" s="23" t="s">
        <v>88</v>
      </c>
      <c r="E47" s="24" t="s">
        <v>77</v>
      </c>
      <c r="F47" s="24" t="s">
        <v>78</v>
      </c>
      <c r="G47" s="24" t="s">
        <v>79</v>
      </c>
      <c r="H47" s="24"/>
      <c r="I47" s="24" t="s">
        <v>82</v>
      </c>
      <c r="J47" s="38" t="s">
        <v>83</v>
      </c>
      <c r="K47" s="36">
        <v>27.2</v>
      </c>
      <c r="L47" s="27"/>
      <c r="M47" s="27"/>
      <c r="N47" s="27"/>
      <c r="O47" s="27"/>
      <c r="P47" s="27"/>
      <c r="Q47" s="27"/>
      <c r="R47" s="27"/>
      <c r="S47" s="27"/>
      <c r="T47" s="27"/>
      <c r="U47" s="27"/>
      <c r="V47" s="27">
        <v>13.6</v>
      </c>
      <c r="W47" s="27">
        <v>13.6</v>
      </c>
      <c r="X47" s="28" t="s">
        <v>59</v>
      </c>
      <c r="Y47" s="23">
        <v>2023</v>
      </c>
      <c r="Z47" s="23" t="str">
        <f>VLOOKUP($E47,'[1]5-2. Emission Facility'!$B$7:$D$16,2,0)</f>
        <v>AC</v>
      </c>
      <c r="AA47" s="23" t="str">
        <f>VLOOKUP($Z47,'[1]5-2. Emission Facility'!$C$7:$D$16,2,0)</f>
        <v>Process Emissions</v>
      </c>
      <c r="AB47" s="23" t="str">
        <f>IF($C47="","",IF(VLOOKUP($C47,'[1]1. General Facility Information'!$C$7:$E$13,3,0)="Korea",'Scope 1'!$I47,INDEX('[1]5-1. Fuel Density'!$B$6:$B$18,MATCH('Scope 1'!$I47,'[1]5-1. Fuel Density'!$C$6:$C$18,0))))</f>
        <v>Hydrofluorocarbons(HFCs)</v>
      </c>
      <c r="AC47" s="23">
        <f t="shared" si="1"/>
        <v>0</v>
      </c>
      <c r="AD47" s="23">
        <f t="shared" si="5"/>
        <v>0</v>
      </c>
      <c r="AE47" s="23">
        <f t="shared" si="5"/>
        <v>0</v>
      </c>
      <c r="AF47" s="23">
        <f t="shared" ref="AF47:AN77" si="6">IF(OR($X47="㎥",$X47="kg"),O47,"")</f>
        <v>0</v>
      </c>
      <c r="AG47" s="23">
        <f t="shared" si="6"/>
        <v>0</v>
      </c>
      <c r="AH47" s="23">
        <f t="shared" si="6"/>
        <v>0</v>
      </c>
      <c r="AI47" s="23">
        <f t="shared" si="6"/>
        <v>0</v>
      </c>
      <c r="AJ47" s="23">
        <f t="shared" si="6"/>
        <v>0</v>
      </c>
      <c r="AK47" s="23">
        <f t="shared" si="6"/>
        <v>0</v>
      </c>
      <c r="AL47" s="23">
        <f t="shared" si="6"/>
        <v>0</v>
      </c>
      <c r="AM47" s="23">
        <f t="shared" si="6"/>
        <v>13.6</v>
      </c>
      <c r="AN47" s="23">
        <f t="shared" si="6"/>
        <v>13.6</v>
      </c>
      <c r="AO47" s="23" t="str">
        <f t="shared" si="2"/>
        <v/>
      </c>
      <c r="AP47" s="34">
        <f t="shared" si="3"/>
        <v>27.2</v>
      </c>
      <c r="AQ47" s="23" t="str">
        <f>IF(OR($X47="㎥",$X47="kg"),$X47,"")</f>
        <v>kg</v>
      </c>
      <c r="AR47" s="35">
        <f>IF($C47="","",$AP47*IF($AQ47="㎥",VLOOKUP('Scope 1'!AQ47,'[1]5-3. Unit Conversion'!$B$5:$J$13,3,FALSE)*VLOOKUP('Scope 1'!AB47,'[1]5-1. Fuel Density'!$B$6:$D$18,3,FALSE)*1000,IF($AQ47="kg",VLOOKUP('Scope 1'!AQ47,'[1]5-3. Unit Conversion'!$B$16:$G$21,3,FALSE),0)))</f>
        <v>27.2</v>
      </c>
      <c r="AS47" s="35">
        <f>IFERROR(IF($AB47="","",IF(VLOOKUP($AB47,'[1]5-1. Fuel Density'!$B$6:$G$19,6,0)="Use of other GHGs",0,IF($AB47="Industrial Wastes",$AR47*'[1]5-4. Calorific&amp;Emission factor'!$R$75,$AR47*VLOOKUP($AB47,'[1]5-4. Calorific&amp;Emission factor'!$P$9:$R$74,3,FALSE)))),0)</f>
        <v>0</v>
      </c>
      <c r="AT47" s="32">
        <f>IF($AB47="","",IF(OR($AB47="Hydrofluorocarbons(HFCs)",$AB47="ETC"),$AR47*VLOOKUP($J47,'[1]5-4. Calorific&amp;Emission factor'!$B$10:$D$14,3,0)/1000,IF(VLOOKUP($AB47,'[1]5-1. Fuel Density'!$B$6:$G$19,6,0)="Use of other GHGs",$AU47/1000,(($AU47*'[1]5-4. Calorific&amp;Emission factor'!$D$7)+($AV47*'[1]5-4. Calorific&amp;Emission factor'!$D$8)+($AW47*'[1]5-4. Calorific&amp;Emission factor'!$D$9))/1000)))</f>
        <v>53.311999999999998</v>
      </c>
      <c r="AU47" s="33">
        <f>IF($AB47="","",IF(VLOOKUP($AB47,'[1]5-1. Fuel Density'!$B$6:$G$19,6,0)="Use of other GHGs",$AR47*VLOOKUP($AB47,'[1]5-4. Calorific&amp;Emission factor'!$O$9:$Y$74,5,FALSE)/1000000,$AS47*VLOOKUP($AB47,'[1]5-4. Calorific&amp;Emission factor'!$P$9:$Y$74,4,FALSE)/1000000))</f>
        <v>0</v>
      </c>
      <c r="AV47" s="33">
        <f>IF($AB47="","",IF(VLOOKUP($AB47,'[1]5-1. Fuel Density'!$B$6:$G$19,6,0)="Use of other GHGs",0,$AS47*VLOOKUP($AB47,'[1]5-4. Calorific&amp;Emission factor'!$P$9:$Y$74,6,FALSE)/1000000))</f>
        <v>0</v>
      </c>
      <c r="AW47" s="33">
        <f>IF($AB47="","",IF(VLOOKUP($AB47,'[1]5-1. Fuel Density'!$B$6:$G$19,6,0)="Use of other GHGs",0,$AS47*VLOOKUP($AB47,'[1]5-4. Calorific&amp;Emission factor'!$P$9:$Y$74,9,FALSE)/1000000))</f>
        <v>0</v>
      </c>
    </row>
    <row r="48" spans="2:49">
      <c r="B48" s="23">
        <v>43</v>
      </c>
      <c r="C48" s="23" t="s">
        <v>69</v>
      </c>
      <c r="D48" s="23" t="s">
        <v>88</v>
      </c>
      <c r="E48" s="24" t="s">
        <v>77</v>
      </c>
      <c r="F48" s="24" t="s">
        <v>78</v>
      </c>
      <c r="G48" s="24" t="s">
        <v>79</v>
      </c>
      <c r="H48" s="24"/>
      <c r="I48" s="24" t="s">
        <v>80</v>
      </c>
      <c r="J48" s="38" t="s">
        <v>91</v>
      </c>
      <c r="K48" s="36">
        <v>10</v>
      </c>
      <c r="L48" s="27"/>
      <c r="M48" s="27"/>
      <c r="N48" s="27"/>
      <c r="O48" s="27"/>
      <c r="P48" s="27"/>
      <c r="Q48" s="27"/>
      <c r="R48" s="27"/>
      <c r="S48" s="27"/>
      <c r="T48" s="27"/>
      <c r="U48" s="27"/>
      <c r="V48" s="27">
        <v>10</v>
      </c>
      <c r="W48" s="27"/>
      <c r="X48" s="28" t="s">
        <v>59</v>
      </c>
      <c r="Y48" s="23">
        <v>2023</v>
      </c>
      <c r="Z48" s="23" t="str">
        <f>VLOOKUP($E48,'[1]5-2. Emission Facility'!$B$7:$D$16,2,0)</f>
        <v>AC</v>
      </c>
      <c r="AA48" s="23" t="str">
        <f>VLOOKUP($Z48,'[1]5-2. Emission Facility'!$C$7:$D$16,2,0)</f>
        <v>Process Emissions</v>
      </c>
      <c r="AB48" s="23" t="str">
        <f>IF($C48="","",IF(VLOOKUP($C48,'[1]1. General Facility Information'!$C$7:$E$13,3,0)="Korea",'Scope 1'!$I48,INDEX('[1]5-1. Fuel Density'!$B$6:$B$18,MATCH('Scope 1'!$I48,'[1]5-1. Fuel Density'!$C$6:$C$18,0))))</f>
        <v>Hydrofluorocarbons(HFCs)</v>
      </c>
      <c r="AC48" s="23"/>
      <c r="AD48" s="23"/>
      <c r="AE48" s="23"/>
      <c r="AF48" s="23"/>
      <c r="AG48" s="23"/>
      <c r="AH48" s="23"/>
      <c r="AI48" s="23"/>
      <c r="AJ48" s="23"/>
      <c r="AK48" s="23"/>
      <c r="AL48" s="23"/>
      <c r="AM48" s="23"/>
      <c r="AN48" s="23"/>
      <c r="AO48" s="23"/>
      <c r="AP48" s="34">
        <f t="shared" si="3"/>
        <v>10</v>
      </c>
      <c r="AQ48" s="23" t="str">
        <f t="shared" si="4"/>
        <v>kg</v>
      </c>
      <c r="AR48" s="35">
        <f>IF($C48="","",$AP48*IF($AQ48="㎥",VLOOKUP('Scope 1'!AQ48,'[1]5-3. Unit Conversion'!$B$5:$J$13,3,FALSE)*VLOOKUP('Scope 1'!AB48,'[1]5-1. Fuel Density'!$B$6:$D$18,3,FALSE)*1000,IF($AQ48="kg",VLOOKUP('Scope 1'!AQ48,'[1]5-3. Unit Conversion'!$B$16:$G$21,3,FALSE),0)))</f>
        <v>10</v>
      </c>
      <c r="AS48" s="35">
        <f>IFERROR(IF($AB48="","",IF(VLOOKUP($AB48,'[1]5-1. Fuel Density'!$B$6:$G$19,6,0)="Use of other GHGs",0,IF($AB48="Industrial Wastes",$AR48*'[1]5-4. Calorific&amp;Emission factor'!$R$75,$AR48*VLOOKUP($AB48,'[1]5-4. Calorific&amp;Emission factor'!$P$9:$R$74,3,FALSE)))),0)</f>
        <v>0</v>
      </c>
      <c r="AT48" s="32">
        <f>IF($AB48="","",IF(OR($AB48="Hydrofluorocarbons(HFCs)",$AB48="ETC"),$AR48*VLOOKUP($J48,'[1]5-4. Calorific&amp;Emission factor'!$B$10:$D$14,3,0)/1000,IF(VLOOKUP($AB48,'[1]5-1. Fuel Density'!$B$6:$G$19,6,0)="Use of other GHGs",$AU48/1000,(($AU48*'[1]5-4. Calorific&amp;Emission factor'!$D$7)+($AV48*'[1]5-4. Calorific&amp;Emission factor'!$D$8)+($AW48*'[1]5-4. Calorific&amp;Emission factor'!$D$9))/1000)))</f>
        <v>7.71</v>
      </c>
      <c r="AU48" s="33">
        <f>IF($AB48="","",IF(VLOOKUP($AB48,'[1]5-1. Fuel Density'!$B$6:$G$19,6,0)="Use of other GHGs",$AR48*VLOOKUP($AB48,'[1]5-4. Calorific&amp;Emission factor'!$O$9:$Y$74,5,FALSE)/1000000,$AS48*VLOOKUP($AB48,'[1]5-4. Calorific&amp;Emission factor'!$P$9:$Y$74,4,FALSE)/1000000))</f>
        <v>0</v>
      </c>
      <c r="AV48" s="33">
        <f>IF($AB48="","",IF(VLOOKUP($AB48,'[1]5-1. Fuel Density'!$B$6:$G$19,6,0)="Use of other GHGs",0,$AS48*VLOOKUP($AB48,'[1]5-4. Calorific&amp;Emission factor'!$P$9:$Y$74,6,FALSE)/1000000))</f>
        <v>0</v>
      </c>
      <c r="AW48" s="33">
        <f>IF($AB48="","",IF(VLOOKUP($AB48,'[1]5-1. Fuel Density'!$B$6:$G$19,6,0)="Use of other GHGs",0,$AS48*VLOOKUP($AB48,'[1]5-4. Calorific&amp;Emission factor'!$P$9:$Y$74,9,FALSE)/1000000))</f>
        <v>0</v>
      </c>
    </row>
    <row r="49" spans="2:49">
      <c r="B49" s="23">
        <v>44</v>
      </c>
      <c r="C49" s="23" t="s">
        <v>69</v>
      </c>
      <c r="D49" s="23" t="s">
        <v>88</v>
      </c>
      <c r="E49" s="24" t="s">
        <v>84</v>
      </c>
      <c r="F49" s="24" t="s">
        <v>42</v>
      </c>
      <c r="G49" s="24" t="s">
        <v>43</v>
      </c>
      <c r="H49" s="24"/>
      <c r="I49" s="24" t="s">
        <v>85</v>
      </c>
      <c r="J49" s="24" t="s">
        <v>86</v>
      </c>
      <c r="K49" s="36">
        <v>27.018999999999998</v>
      </c>
      <c r="L49" s="27">
        <v>2.0819999999999999</v>
      </c>
      <c r="M49" s="27">
        <v>2.0710000000000002</v>
      </c>
      <c r="N49" s="27">
        <v>2.7759999999999998</v>
      </c>
      <c r="O49" s="27">
        <v>1.72</v>
      </c>
      <c r="P49" s="27">
        <v>2.2690000000000001</v>
      </c>
      <c r="Q49" s="27">
        <v>2.238</v>
      </c>
      <c r="R49" s="27">
        <v>3.1640000000000001</v>
      </c>
      <c r="S49" s="27">
        <v>2.5489999999999999</v>
      </c>
      <c r="T49" s="27">
        <v>2.3199999999999998</v>
      </c>
      <c r="U49" s="27">
        <v>1.8959999999999999</v>
      </c>
      <c r="V49" s="27">
        <v>1.4930000000000001</v>
      </c>
      <c r="W49" s="27">
        <v>2.4409999999999998</v>
      </c>
      <c r="X49" s="28" t="s">
        <v>46</v>
      </c>
      <c r="Y49" s="23">
        <v>2023</v>
      </c>
      <c r="Z49" s="23" t="str">
        <f>VLOOKUP($E49,'[1]5-2. Emission Facility'!$B$7:$D$16,2,0)</f>
        <v>Vehicle</v>
      </c>
      <c r="AA49" s="23" t="str">
        <f>VLOOKUP($Z49,'[1]5-2. Emission Facility'!$C$7:$D$16,2,0)</f>
        <v>Mobile combustion</v>
      </c>
      <c r="AB49" s="23" t="str">
        <f>IF($C49="","",IF(VLOOKUP($C49,'[1]1. General Facility Information'!$C$7:$E$13,3,0)="Korea",'Scope 1'!$I49,INDEX('[1]5-1. Fuel Density'!$B$6:$B$18,MATCH('Scope 1'!$I49,'[1]5-1. Fuel Density'!$C$6:$C$18,0))))</f>
        <v>Automotive gasoline (petrol)</v>
      </c>
      <c r="AC49" s="23">
        <f t="shared" si="1"/>
        <v>2.0819999999999999</v>
      </c>
      <c r="AD49" s="23">
        <f t="shared" ref="AD49:AH79" si="7">IF(OR($X49="㎥",$X49="kg"),M49,"")</f>
        <v>2.0710000000000002</v>
      </c>
      <c r="AE49" s="23">
        <f t="shared" si="7"/>
        <v>2.7759999999999998</v>
      </c>
      <c r="AF49" s="23">
        <f t="shared" si="6"/>
        <v>1.72</v>
      </c>
      <c r="AG49" s="23">
        <f t="shared" si="6"/>
        <v>2.2690000000000001</v>
      </c>
      <c r="AH49" s="23">
        <f t="shared" si="6"/>
        <v>2.238</v>
      </c>
      <c r="AI49" s="23">
        <f t="shared" si="6"/>
        <v>3.1640000000000001</v>
      </c>
      <c r="AJ49" s="23">
        <f t="shared" si="6"/>
        <v>2.5489999999999999</v>
      </c>
      <c r="AK49" s="23">
        <f t="shared" si="6"/>
        <v>2.3199999999999998</v>
      </c>
      <c r="AL49" s="23">
        <f t="shared" si="6"/>
        <v>1.8959999999999999</v>
      </c>
      <c r="AM49" s="23">
        <f t="shared" si="6"/>
        <v>1.4930000000000001</v>
      </c>
      <c r="AN49" s="23">
        <f t="shared" si="6"/>
        <v>2.4409999999999998</v>
      </c>
      <c r="AO49" s="23" t="str">
        <f t="shared" si="2"/>
        <v/>
      </c>
      <c r="AP49" s="34">
        <f t="shared" si="3"/>
        <v>27.018999999999998</v>
      </c>
      <c r="AQ49" s="23" t="str">
        <f t="shared" si="4"/>
        <v>㎥</v>
      </c>
      <c r="AR49" s="35">
        <f>IF($C49="","",$AP49*IF($AQ49="㎥",VLOOKUP('Scope 1'!AQ49,'[1]5-3. Unit Conversion'!$B$5:$J$13,3,FALSE)*VLOOKUP('Scope 1'!AB49,'[1]5-1. Fuel Density'!$B$6:$D$18,3,FALSE)*1000,IF($AQ49="kg",VLOOKUP('Scope 1'!AQ49,'[1]5-3. Unit Conversion'!$B$16:$G$21,3,FALSE),0)))</f>
        <v>20021.078999999998</v>
      </c>
      <c r="AS49" s="35">
        <f>IFERROR(IF($AB49="","",IF(VLOOKUP($AB49,'[1]5-1. Fuel Density'!$B$6:$G$19,6,0)="Use of other GHGs",0,IF($AB49="Industrial Wastes",$AR49*'[1]5-4. Calorific&amp;Emission factor'!$R$75,$AR49*VLOOKUP($AB49,'[1]5-4. Calorific&amp;Emission factor'!$P$9:$R$74,3,FALSE)))),0)</f>
        <v>886933.79969999986</v>
      </c>
      <c r="AT49" s="32">
        <f>IF($AB49="","",IF(OR($AB49="Hydrofluorocarbons(HFCs)",$AB49="ETC"),$AR49*VLOOKUP($J49,'[1]5-4. Calorific&amp;Emission factor'!$B$10:$D$14,3,0)/1000,IF(VLOOKUP($AB49,'[1]5-1. Fuel Density'!$B$6:$G$19,6,0)="Use of other GHGs",$AU49/1000,(($AU49*'[1]5-4. Calorific&amp;Emission factor'!$D$7)+($AV49*'[1]5-4. Calorific&amp;Emission factor'!$D$8)+($AW49*'[1]5-4. Calorific&amp;Emission factor'!$D$9))/1000)))</f>
        <v>61.681633713376556</v>
      </c>
      <c r="AU49" s="33">
        <f>IF($AB49="","",IF(VLOOKUP($AB49,'[1]5-1. Fuel Density'!$B$6:$G$19,6,0)="Use of other GHGs",$AR49*VLOOKUP($AB49,'[1]5-4. Calorific&amp;Emission factor'!$O$9:$Y$74,5,FALSE)/1000000,$AS49*VLOOKUP($AB49,'[1]5-4. Calorific&amp;Emission factor'!$P$9:$Y$74,4,FALSE)/1000000))</f>
        <v>61464.512319209993</v>
      </c>
      <c r="AV49" s="33">
        <f>IF($AB49="","",IF(VLOOKUP($AB49,'[1]5-1. Fuel Density'!$B$6:$G$19,6,0)="Use of other GHGs",0,$AS49*VLOOKUP($AB49,'[1]5-4. Calorific&amp;Emission factor'!$P$9:$Y$74,6,FALSE)/1000000))</f>
        <v>2.6608013990999995</v>
      </c>
      <c r="AW49" s="33">
        <f>IF($AB49="","",IF(VLOOKUP($AB49,'[1]5-1. Fuel Density'!$B$6:$G$19,6,0)="Use of other GHGs",0,$AS49*VLOOKUP($AB49,'[1]5-4. Calorific&amp;Emission factor'!$P$9:$Y$74,9,FALSE)/1000000))</f>
        <v>0.53216027981999992</v>
      </c>
    </row>
    <row r="50" spans="2:49">
      <c r="B50" s="23">
        <v>45</v>
      </c>
      <c r="C50" s="23" t="s">
        <v>69</v>
      </c>
      <c r="D50" s="23" t="s">
        <v>88</v>
      </c>
      <c r="E50" s="24" t="s">
        <v>84</v>
      </c>
      <c r="F50" s="24" t="s">
        <v>42</v>
      </c>
      <c r="G50" s="24" t="s">
        <v>43</v>
      </c>
      <c r="H50" s="24"/>
      <c r="I50" s="24" t="s">
        <v>85</v>
      </c>
      <c r="J50" s="24" t="s">
        <v>87</v>
      </c>
      <c r="K50" s="36">
        <v>250.42134999999993</v>
      </c>
      <c r="L50" s="27">
        <v>18.935760000000002</v>
      </c>
      <c r="M50" s="27">
        <v>18.635550000000002</v>
      </c>
      <c r="N50" s="27">
        <v>24.642909999999986</v>
      </c>
      <c r="O50" s="27">
        <v>19.944140000000004</v>
      </c>
      <c r="P50" s="27">
        <v>22.39047999999999</v>
      </c>
      <c r="Q50" s="27">
        <v>23.425859999999997</v>
      </c>
      <c r="R50" s="27">
        <v>27.17084999999998</v>
      </c>
      <c r="S50" s="27">
        <v>20.256800000000002</v>
      </c>
      <c r="T50" s="27">
        <v>17.526680000000002</v>
      </c>
      <c r="U50" s="27">
        <v>17.588530000000002</v>
      </c>
      <c r="V50" s="27">
        <v>17.124080000000003</v>
      </c>
      <c r="W50" s="27">
        <v>22.779709999999991</v>
      </c>
      <c r="X50" s="28" t="s">
        <v>46</v>
      </c>
      <c r="Y50" s="23">
        <v>2023</v>
      </c>
      <c r="Z50" s="23" t="str">
        <f>VLOOKUP($E50,'[1]5-2. Emission Facility'!$B$7:$D$16,2,0)</f>
        <v>Vehicle</v>
      </c>
      <c r="AA50" s="23" t="str">
        <f>VLOOKUP($Z50,'[1]5-2. Emission Facility'!$C$7:$D$16,2,0)</f>
        <v>Mobile combustion</v>
      </c>
      <c r="AB50" s="23" t="str">
        <f>IF($C50="","",IF(VLOOKUP($C50,'[1]1. General Facility Information'!$C$7:$E$13,3,0)="Korea",'Scope 1'!$I50,INDEX('[1]5-1. Fuel Density'!$B$6:$B$18,MATCH('Scope 1'!$I50,'[1]5-1. Fuel Density'!$C$6:$C$18,0))))</f>
        <v>Automotive gasoline (petrol)</v>
      </c>
      <c r="AC50" s="23">
        <f t="shared" si="1"/>
        <v>18.935760000000002</v>
      </c>
      <c r="AD50" s="23">
        <f t="shared" si="7"/>
        <v>18.635550000000002</v>
      </c>
      <c r="AE50" s="23">
        <f t="shared" si="7"/>
        <v>24.642909999999986</v>
      </c>
      <c r="AF50" s="23">
        <f t="shared" si="6"/>
        <v>19.944140000000004</v>
      </c>
      <c r="AG50" s="23">
        <f t="shared" si="6"/>
        <v>22.39047999999999</v>
      </c>
      <c r="AH50" s="23">
        <f t="shared" si="6"/>
        <v>23.425859999999997</v>
      </c>
      <c r="AI50" s="23">
        <f t="shared" si="6"/>
        <v>27.17084999999998</v>
      </c>
      <c r="AJ50" s="23">
        <f t="shared" si="6"/>
        <v>20.256800000000002</v>
      </c>
      <c r="AK50" s="23">
        <f t="shared" si="6"/>
        <v>17.526680000000002</v>
      </c>
      <c r="AL50" s="23">
        <f t="shared" si="6"/>
        <v>17.588530000000002</v>
      </c>
      <c r="AM50" s="23">
        <f t="shared" si="6"/>
        <v>17.124080000000003</v>
      </c>
      <c r="AN50" s="23">
        <f t="shared" si="6"/>
        <v>22.779709999999991</v>
      </c>
      <c r="AO50" s="23" t="str">
        <f t="shared" si="2"/>
        <v/>
      </c>
      <c r="AP50" s="34">
        <f t="shared" si="3"/>
        <v>250.42134999999993</v>
      </c>
      <c r="AQ50" s="23" t="str">
        <f t="shared" si="4"/>
        <v>㎥</v>
      </c>
      <c r="AR50" s="35">
        <f>IF($C50="","",$AP50*IF($AQ50="㎥",VLOOKUP('Scope 1'!AQ50,'[1]5-3. Unit Conversion'!$B$5:$J$13,3,FALSE)*VLOOKUP('Scope 1'!AB50,'[1]5-1. Fuel Density'!$B$6:$D$18,3,FALSE)*1000,IF($AQ50="kg",VLOOKUP('Scope 1'!AQ50,'[1]5-3. Unit Conversion'!$B$16:$G$21,3,FALSE),0)))</f>
        <v>185562.22034999996</v>
      </c>
      <c r="AS50" s="35">
        <f>IFERROR(IF($AB50="","",IF(VLOOKUP($AB50,'[1]5-1. Fuel Density'!$B$6:$G$19,6,0)="Use of other GHGs",0,IF($AB50="Industrial Wastes",$AR50*'[1]5-4. Calorific&amp;Emission factor'!$R$75,$AR50*VLOOKUP($AB50,'[1]5-4. Calorific&amp;Emission factor'!$P$9:$R$74,3,FALSE)))),0)</f>
        <v>8220406.3615049981</v>
      </c>
      <c r="AT50" s="32">
        <f>IF($AB50="","",IF(OR($AB50="Hydrofluorocarbons(HFCs)",$AB50="ETC"),$AR50*VLOOKUP($J50,'[1]5-4. Calorific&amp;Emission factor'!$B$10:$D$14,3,0)/1000,IF(VLOOKUP($AB50,'[1]5-1. Fuel Density'!$B$6:$G$19,6,0)="Use of other GHGs",$AU50/1000,(($AU50*'[1]5-4. Calorific&amp;Emission factor'!$D$7)+($AV50*'[1]5-4. Calorific&amp;Emission factor'!$D$8)+($AW50*'[1]5-4. Calorific&amp;Emission factor'!$D$9))/1000)))</f>
        <v>571.68651632959279</v>
      </c>
      <c r="AU50" s="33">
        <f>IF($AB50="","",IF(VLOOKUP($AB50,'[1]5-1. Fuel Density'!$B$6:$G$19,6,0)="Use of other GHGs",$AR50*VLOOKUP($AB50,'[1]5-4. Calorific&amp;Emission factor'!$O$9:$Y$74,5,FALSE)/1000000,$AS50*VLOOKUP($AB50,'[1]5-4. Calorific&amp;Emission factor'!$P$9:$Y$74,4,FALSE)/1000000))</f>
        <v>569674.16085229639</v>
      </c>
      <c r="AV50" s="33">
        <f>IF($AB50="","",IF(VLOOKUP($AB50,'[1]5-1. Fuel Density'!$B$6:$G$19,6,0)="Use of other GHGs",0,$AS50*VLOOKUP($AB50,'[1]5-4. Calorific&amp;Emission factor'!$P$9:$Y$74,6,FALSE)/1000000))</f>
        <v>24.661219084514993</v>
      </c>
      <c r="AW50" s="33">
        <f>IF($AB50="","",IF(VLOOKUP($AB50,'[1]5-1. Fuel Density'!$B$6:$G$19,6,0)="Use of other GHGs",0,$AS50*VLOOKUP($AB50,'[1]5-4. Calorific&amp;Emission factor'!$P$9:$Y$74,9,FALSE)/1000000))</f>
        <v>4.9322438169029992</v>
      </c>
    </row>
    <row r="51" spans="2:49">
      <c r="B51" s="23">
        <v>46</v>
      </c>
      <c r="C51" s="23" t="s">
        <v>92</v>
      </c>
      <c r="D51" s="23" t="s">
        <v>92</v>
      </c>
      <c r="E51" s="24" t="s">
        <v>41</v>
      </c>
      <c r="F51" s="24" t="s">
        <v>42</v>
      </c>
      <c r="G51" s="24" t="s">
        <v>49</v>
      </c>
      <c r="H51" s="24" t="s">
        <v>50</v>
      </c>
      <c r="I51" s="24" t="s">
        <v>51</v>
      </c>
      <c r="J51" s="24" t="s">
        <v>102</v>
      </c>
      <c r="K51" s="36">
        <v>44.171418000000003</v>
      </c>
      <c r="L51" s="27">
        <v>2.834667</v>
      </c>
      <c r="M51" s="27">
        <v>3.0228130000000002</v>
      </c>
      <c r="N51" s="27">
        <v>4.1235390000000001</v>
      </c>
      <c r="O51" s="27">
        <v>3.0804909999999999</v>
      </c>
      <c r="P51" s="27">
        <v>3.4714360000000002</v>
      </c>
      <c r="Q51" s="27">
        <v>4.0165179999999996</v>
      </c>
      <c r="R51" s="27">
        <v>3.2085940000000002</v>
      </c>
      <c r="S51" s="27">
        <v>3.9749490000000001</v>
      </c>
      <c r="T51" s="27">
        <v>4.0793800000000005</v>
      </c>
      <c r="U51" s="27">
        <v>4.3541059999999998</v>
      </c>
      <c r="V51" s="27">
        <v>4.1035300000000001</v>
      </c>
      <c r="W51" s="27">
        <v>3.9013949999999999</v>
      </c>
      <c r="X51" s="28" t="s">
        <v>46</v>
      </c>
      <c r="Y51" s="23">
        <v>2023</v>
      </c>
      <c r="Z51" s="23" t="str">
        <f>VLOOKUP($E51,'[1]5-2. Emission Facility'!$B$7:$D$16,2,0)</f>
        <v>Vehicle</v>
      </c>
      <c r="AA51" s="23" t="str">
        <f>VLOOKUP($Z51,'[1]5-2. Emission Facility'!$C$7:$D$16,2,0)</f>
        <v>Mobile combustion</v>
      </c>
      <c r="AB51" s="23" t="str">
        <f>IF($C51="","",IF(VLOOKUP($C51,'[1]1. General Facility Information'!$C$7:$E$13,3,0)="Korea",'Scope 1'!$I51,INDEX('[1]5-1. Fuel Density'!$B$6:$B$18,MATCH('Scope 1'!$I51,'[1]5-1. Fuel Density'!$C$6:$C$18,0))))</f>
        <v>Automotive gasoline (petrol)</v>
      </c>
      <c r="AC51" s="23">
        <f t="shared" si="1"/>
        <v>2.834667</v>
      </c>
      <c r="AD51" s="23">
        <f t="shared" si="7"/>
        <v>3.0228130000000002</v>
      </c>
      <c r="AE51" s="23">
        <f t="shared" si="7"/>
        <v>4.1235390000000001</v>
      </c>
      <c r="AF51" s="23">
        <f t="shared" si="6"/>
        <v>3.0804909999999999</v>
      </c>
      <c r="AG51" s="23">
        <f t="shared" si="6"/>
        <v>3.4714360000000002</v>
      </c>
      <c r="AH51" s="23">
        <f t="shared" si="6"/>
        <v>4.0165179999999996</v>
      </c>
      <c r="AI51" s="23">
        <f t="shared" si="6"/>
        <v>3.2085940000000002</v>
      </c>
      <c r="AJ51" s="23">
        <f t="shared" si="6"/>
        <v>3.9749490000000001</v>
      </c>
      <c r="AK51" s="23">
        <f t="shared" si="6"/>
        <v>4.0793800000000005</v>
      </c>
      <c r="AL51" s="23">
        <f t="shared" si="6"/>
        <v>4.3541059999999998</v>
      </c>
      <c r="AM51" s="23">
        <f t="shared" si="6"/>
        <v>4.1035300000000001</v>
      </c>
      <c r="AN51" s="23">
        <f t="shared" si="6"/>
        <v>3.9013949999999999</v>
      </c>
      <c r="AO51" s="23" t="str">
        <f t="shared" si="2"/>
        <v/>
      </c>
      <c r="AP51" s="34">
        <f t="shared" si="3"/>
        <v>44.171418000000003</v>
      </c>
      <c r="AQ51" s="23" t="str">
        <f t="shared" si="4"/>
        <v>㎥</v>
      </c>
      <c r="AR51" s="35">
        <f>IF($C51="","",$AP51*IF($AQ51="㎥",VLOOKUP('Scope 1'!AQ51,'[1]5-3. Unit Conversion'!$B$5:$J$13,3,FALSE)*VLOOKUP('Scope 1'!AB51,'[1]5-1. Fuel Density'!$B$6:$D$18,3,FALSE)*1000,IF($AQ51="kg",VLOOKUP('Scope 1'!AQ51,'[1]5-3. Unit Conversion'!$B$16:$G$21,3,FALSE),0)))</f>
        <v>32731.020738000003</v>
      </c>
      <c r="AS51" s="35">
        <f>IFERROR(IF($AB51="","",IF(VLOOKUP($AB51,'[1]5-1. Fuel Density'!$B$6:$G$19,6,0)="Use of other GHGs",0,IF($AB51="Industrial Wastes",$AR51*'[1]5-4. Calorific&amp;Emission factor'!$R$75,$AR51*VLOOKUP($AB51,'[1]5-4. Calorific&amp;Emission factor'!$P$9:$R$74,3,FALSE)))),0)</f>
        <v>1449984.2186934</v>
      </c>
      <c r="AT51" s="32">
        <f>IF($AB51="","",IF(OR($AB51="Hydrofluorocarbons(HFCs)",$AB51="ETC"),$AR51*VLOOKUP($J51,'[1]5-4. Calorific&amp;Emission factor'!$B$10:$D$14,3,0)/1000,IF(VLOOKUP($AB51,'[1]5-1. Fuel Density'!$B$6:$G$19,6,0)="Use of other GHGs",$AU51/1000,(($AU51*'[1]5-4. Calorific&amp;Emission factor'!$D$7)+($AV51*'[1]5-4. Calorific&amp;Emission factor'!$D$8)+($AW51*'[1]5-4. Calorific&amp;Emission factor'!$D$9))/1000)))</f>
        <v>100.83886249218877</v>
      </c>
      <c r="AU51" s="33">
        <f>IF($AB51="","",IF(VLOOKUP($AB51,'[1]5-1. Fuel Density'!$B$6:$G$19,6,0)="Use of other GHGs",$AR51*VLOOKUP($AB51,'[1]5-4. Calorific&amp;Emission factor'!$O$9:$Y$74,5,FALSE)/1000000,$AS51*VLOOKUP($AB51,'[1]5-4. Calorific&amp;Emission factor'!$P$9:$Y$74,4,FALSE)/1000000))</f>
        <v>100483.90635545262</v>
      </c>
      <c r="AV51" s="33">
        <f>IF($AB51="","",IF(VLOOKUP($AB51,'[1]5-1. Fuel Density'!$B$6:$G$19,6,0)="Use of other GHGs",0,$AS51*VLOOKUP($AB51,'[1]5-4. Calorific&amp;Emission factor'!$P$9:$Y$74,6,FALSE)/1000000))</f>
        <v>4.3499526560802</v>
      </c>
      <c r="AW51" s="33">
        <f>IF($AB51="","",IF(VLOOKUP($AB51,'[1]5-1. Fuel Density'!$B$6:$G$19,6,0)="Use of other GHGs",0,$AS51*VLOOKUP($AB51,'[1]5-4. Calorific&amp;Emission factor'!$P$9:$Y$74,9,FALSE)/1000000))</f>
        <v>0.86999053121603998</v>
      </c>
    </row>
    <row r="52" spans="2:49">
      <c r="B52" s="23">
        <v>47</v>
      </c>
      <c r="C52" s="23" t="s">
        <v>94</v>
      </c>
      <c r="D52" s="23" t="s">
        <v>94</v>
      </c>
      <c r="E52" s="24" t="s">
        <v>95</v>
      </c>
      <c r="F52" s="24" t="s">
        <v>42</v>
      </c>
      <c r="G52" s="24" t="s">
        <v>72</v>
      </c>
      <c r="H52" s="24" t="s">
        <v>96</v>
      </c>
      <c r="I52" s="24" t="s">
        <v>62</v>
      </c>
      <c r="J52" s="24"/>
      <c r="K52" s="36">
        <v>3.7</v>
      </c>
      <c r="L52" s="27">
        <v>7.4999999999999997E-2</v>
      </c>
      <c r="M52" s="27">
        <v>0.05</v>
      </c>
      <c r="N52" s="27">
        <v>0.05</v>
      </c>
      <c r="O52" s="27">
        <v>0.08</v>
      </c>
      <c r="P52" s="27">
        <v>0.05</v>
      </c>
      <c r="Q52" s="27">
        <v>0.60499999999999998</v>
      </c>
      <c r="R52" s="27">
        <v>0.06</v>
      </c>
      <c r="S52" s="27">
        <v>0.105</v>
      </c>
      <c r="T52" s="27">
        <v>0.245</v>
      </c>
      <c r="U52" s="27">
        <v>0.16</v>
      </c>
      <c r="V52" s="27">
        <v>1.85</v>
      </c>
      <c r="W52" s="27">
        <v>0.37</v>
      </c>
      <c r="X52" s="28" t="s">
        <v>46</v>
      </c>
      <c r="Y52" s="23">
        <v>2023</v>
      </c>
      <c r="Z52" s="23" t="str">
        <f>VLOOKUP($E52,'[1]5-2. Emission Facility'!$B$7:$D$16,2,0)</f>
        <v>Power Generator</v>
      </c>
      <c r="AA52" s="23" t="str">
        <f>VLOOKUP($Z52,'[1]5-2. Emission Facility'!$C$7:$D$16,2,0)</f>
        <v>Stationary Combustion</v>
      </c>
      <c r="AB52" s="23" t="str">
        <f>IF($C52="","",IF(VLOOKUP($C52,'[1]1. General Facility Information'!$C$7:$E$13,3,0)="Korea",'Scope 1'!$I52,INDEX('[1]5-1. Fuel Density'!$B$6:$B$18,MATCH('Scope 1'!$I52,'[1]5-1. Fuel Density'!$C$6:$C$18,0))))</f>
        <v>Biodiesel</v>
      </c>
      <c r="AC52" s="23">
        <f t="shared" si="1"/>
        <v>7.4999999999999997E-2</v>
      </c>
      <c r="AD52" s="23">
        <f t="shared" si="7"/>
        <v>0.05</v>
      </c>
      <c r="AE52" s="23">
        <f t="shared" si="7"/>
        <v>0.05</v>
      </c>
      <c r="AF52" s="23">
        <f t="shared" si="6"/>
        <v>0.08</v>
      </c>
      <c r="AG52" s="23">
        <f t="shared" si="6"/>
        <v>0.05</v>
      </c>
      <c r="AH52" s="23">
        <f t="shared" si="6"/>
        <v>0.60499999999999998</v>
      </c>
      <c r="AI52" s="23">
        <f t="shared" si="6"/>
        <v>0.06</v>
      </c>
      <c r="AJ52" s="23">
        <f t="shared" si="6"/>
        <v>0.105</v>
      </c>
      <c r="AK52" s="23">
        <f t="shared" si="6"/>
        <v>0.245</v>
      </c>
      <c r="AL52" s="23">
        <f t="shared" si="6"/>
        <v>0.16</v>
      </c>
      <c r="AM52" s="23">
        <f t="shared" si="6"/>
        <v>1.85</v>
      </c>
      <c r="AN52" s="23">
        <f t="shared" si="6"/>
        <v>0.37</v>
      </c>
      <c r="AO52" s="23" t="str">
        <f t="shared" si="2"/>
        <v/>
      </c>
      <c r="AP52" s="34">
        <f t="shared" si="3"/>
        <v>3.7</v>
      </c>
      <c r="AQ52" s="23" t="str">
        <f t="shared" si="4"/>
        <v>㎥</v>
      </c>
      <c r="AR52" s="35">
        <f>IF($C52="","",$AP52*IF($AQ52="㎥",VLOOKUP('Scope 1'!AQ52,'[1]5-3. Unit Conversion'!$B$5:$J$13,3,FALSE)*VLOOKUP('Scope 1'!AB52,'[1]5-1. Fuel Density'!$B$6:$D$18,3,FALSE)*1000,IF($AQ52="kg",VLOOKUP('Scope 1'!AQ52,'[1]5-3. Unit Conversion'!$B$16:$G$21,3,FALSE),0)))</f>
        <v>3126.5</v>
      </c>
      <c r="AS52" s="35">
        <f>IFERROR(IF($AB52="","",IF(VLOOKUP($AB52,'[1]5-1. Fuel Density'!$B$6:$G$19,6,0)="Use of other GHGs",0,IF($AB52="Industrial Wastes",$AR52*'[1]5-4. Calorific&amp;Emission factor'!$R$75,$AR52*VLOOKUP($AB52,'[1]5-4. Calorific&amp;Emission factor'!$P$9:$R$74,3,FALSE)))),0)</f>
        <v>84415.5</v>
      </c>
      <c r="AT52" s="32">
        <f>IF($AB52="","",IF(OR($AB52="Hydrofluorocarbons(HFCs)",$AB52="ETC"),$AR52*VLOOKUP($J52,'[1]5-4. Calorific&amp;Emission factor'!$B$10:$D$14,3,0)/1000,IF(VLOOKUP($AB52,'[1]5-1. Fuel Density'!$B$6:$G$19,6,0)="Use of other GHGs",$AU52/1000,(($AU52*'[1]5-4. Calorific&amp;Emission factor'!$D$7)+($AV52*'[1]5-4. Calorific&amp;Emission factor'!$D$8)+($AW52*'[1]5-4. Calorific&amp;Emission factor'!$D$9))/1000)))</f>
        <v>5.9972823144000005</v>
      </c>
      <c r="AU52" s="33">
        <f>IF($AB52="","",IF(VLOOKUP($AB52,'[1]5-1. Fuel Density'!$B$6:$G$19,6,0)="Use of other GHGs",$AR52*VLOOKUP($AB52,'[1]5-4. Calorific&amp;Emission factor'!$O$9:$Y$74,5,FALSE)/1000000,$AS52*VLOOKUP($AB52,'[1]5-4. Calorific&amp;Emission factor'!$P$9:$Y$74,4,FALSE)/1000000))</f>
        <v>5976.6174000000001</v>
      </c>
      <c r="AV52" s="33">
        <f>IF($AB52="","",IF(VLOOKUP($AB52,'[1]5-1. Fuel Density'!$B$6:$G$19,6,0)="Use of other GHGs",0,$AS52*VLOOKUP($AB52,'[1]5-4. Calorific&amp;Emission factor'!$P$9:$Y$74,6,FALSE)/1000000))</f>
        <v>0.25324649999999999</v>
      </c>
      <c r="AW52" s="33">
        <f>IF($AB52="","",IF(VLOOKUP($AB52,'[1]5-1. Fuel Density'!$B$6:$G$19,6,0)="Use of other GHGs",0,$AS52*VLOOKUP($AB52,'[1]5-4. Calorific&amp;Emission factor'!$P$9:$Y$74,9,FALSE)/1000000))</f>
        <v>5.0649299999999994E-2</v>
      </c>
    </row>
    <row r="53" spans="2:49">
      <c r="B53" s="23">
        <v>48</v>
      </c>
      <c r="C53" s="23" t="s">
        <v>94</v>
      </c>
      <c r="D53" s="23" t="s">
        <v>94</v>
      </c>
      <c r="E53" s="24" t="s">
        <v>41</v>
      </c>
      <c r="F53" s="24" t="s">
        <v>42</v>
      </c>
      <c r="G53" s="24" t="s">
        <v>43</v>
      </c>
      <c r="H53" s="24" t="s">
        <v>97</v>
      </c>
      <c r="I53" s="24" t="s">
        <v>62</v>
      </c>
      <c r="J53" s="24"/>
      <c r="K53" s="36">
        <v>11.061546147344375</v>
      </c>
      <c r="L53" s="27">
        <v>0.82899</v>
      </c>
      <c r="M53" s="27">
        <v>1.8000409708737866</v>
      </c>
      <c r="N53" s="27">
        <v>0.75529000000000002</v>
      </c>
      <c r="O53" s="27">
        <v>0.49664999999999998</v>
      </c>
      <c r="P53" s="27">
        <v>1.0934900000000001</v>
      </c>
      <c r="Q53" s="27">
        <v>0.95894535294117622</v>
      </c>
      <c r="R53" s="27">
        <v>0.5305323529411764</v>
      </c>
      <c r="S53" s="27">
        <v>1.1108</v>
      </c>
      <c r="T53" s="27">
        <v>0.55320294117647062</v>
      </c>
      <c r="U53" s="27">
        <v>0.65971000000000002</v>
      </c>
      <c r="V53" s="27">
        <v>0.71363452941176453</v>
      </c>
      <c r="W53" s="27">
        <v>1.56026</v>
      </c>
      <c r="X53" s="28" t="s">
        <v>46</v>
      </c>
      <c r="Y53" s="23">
        <v>2023</v>
      </c>
      <c r="Z53" s="23" t="str">
        <f>VLOOKUP($E53,'[1]5-2. Emission Facility'!$B$7:$D$16,2,0)</f>
        <v>Vehicle</v>
      </c>
      <c r="AA53" s="23" t="str">
        <f>VLOOKUP($Z53,'[1]5-2. Emission Facility'!$C$7:$D$16,2,0)</f>
        <v>Mobile combustion</v>
      </c>
      <c r="AB53" s="23" t="str">
        <f>IF($C53="","",IF(VLOOKUP($C53,'[1]1. General Facility Information'!$C$7:$E$13,3,0)="Korea",'Scope 1'!$I53,INDEX('[1]5-1. Fuel Density'!$B$6:$B$18,MATCH('Scope 1'!$I53,'[1]5-1. Fuel Density'!$C$6:$C$18,0))))</f>
        <v>Biodiesel</v>
      </c>
      <c r="AC53" s="23">
        <f>IF(OR($X53="㎥",$X53="kg"),$L53,"")</f>
        <v>0.82899</v>
      </c>
      <c r="AD53" s="23">
        <f t="shared" si="7"/>
        <v>1.8000409708737866</v>
      </c>
      <c r="AE53" s="23">
        <f t="shared" si="7"/>
        <v>0.75529000000000002</v>
      </c>
      <c r="AF53" s="23">
        <f t="shared" si="6"/>
        <v>0.49664999999999998</v>
      </c>
      <c r="AG53" s="23">
        <f t="shared" si="6"/>
        <v>1.0934900000000001</v>
      </c>
      <c r="AH53" s="23">
        <f t="shared" si="6"/>
        <v>0.95894535294117622</v>
      </c>
      <c r="AI53" s="23">
        <f t="shared" si="6"/>
        <v>0.5305323529411764</v>
      </c>
      <c r="AJ53" s="23">
        <f t="shared" si="6"/>
        <v>1.1108</v>
      </c>
      <c r="AK53" s="23">
        <f t="shared" si="6"/>
        <v>0.55320294117647062</v>
      </c>
      <c r="AL53" s="23">
        <f t="shared" si="6"/>
        <v>0.65971000000000002</v>
      </c>
      <c r="AM53" s="23">
        <f t="shared" si="6"/>
        <v>0.71363452941176453</v>
      </c>
      <c r="AN53" s="23">
        <f t="shared" si="6"/>
        <v>1.56026</v>
      </c>
      <c r="AO53" s="23" t="str">
        <f t="shared" si="2"/>
        <v/>
      </c>
      <c r="AP53" s="34">
        <f t="shared" si="3"/>
        <v>11.061546147344375</v>
      </c>
      <c r="AQ53" s="23" t="str">
        <f t="shared" si="4"/>
        <v>㎥</v>
      </c>
      <c r="AR53" s="35">
        <f>IF($C53="","",$AP53*IF($AQ53="㎥",VLOOKUP('Scope 1'!AQ53,'[1]5-3. Unit Conversion'!$B$5:$J$13,3,FALSE)*VLOOKUP('Scope 1'!AB53,'[1]5-1. Fuel Density'!$B$6:$D$18,3,FALSE)*1000,IF($AQ53="kg",VLOOKUP('Scope 1'!AQ53,'[1]5-3. Unit Conversion'!$B$16:$G$21,3,FALSE),0)))</f>
        <v>9347.0064945059967</v>
      </c>
      <c r="AS53" s="35">
        <f>IFERROR(IF($AB53="","",IF(VLOOKUP($AB53,'[1]5-1. Fuel Density'!$B$6:$G$19,6,0)="Use of other GHGs",0,IF($AB53="Industrial Wastes",$AR53*'[1]5-4. Calorific&amp;Emission factor'!$R$75,$AR53*VLOOKUP($AB53,'[1]5-4. Calorific&amp;Emission factor'!$P$9:$R$74,3,FALSE)))),0)</f>
        <v>252369.17535166192</v>
      </c>
      <c r="AT53" s="32">
        <f>IF($AB53="","",IF(OR($AB53="Hydrofluorocarbons(HFCs)",$AB53="ETC"),$AR53*VLOOKUP($J53,'[1]5-4. Calorific&amp;Emission factor'!$B$10:$D$14,3,0)/1000,IF(VLOOKUP($AB53,'[1]5-1. Fuel Density'!$B$6:$G$19,6,0)="Use of other GHGs",$AU53/1000,(($AU53*'[1]5-4. Calorific&amp;Emission factor'!$D$7)+($AV53*'[1]5-4. Calorific&amp;Emission factor'!$D$8)+($AW53*'[1]5-4. Calorific&amp;Emission factor'!$D$9))/1000)))</f>
        <v>17.929517589023753</v>
      </c>
      <c r="AU53" s="33">
        <f>IF($AB53="","",IF(VLOOKUP($AB53,'[1]5-1. Fuel Density'!$B$6:$G$19,6,0)="Use of other GHGs",$AR53*VLOOKUP($AB53,'[1]5-4. Calorific&amp;Emission factor'!$O$9:$Y$74,5,FALSE)/1000000,$AS53*VLOOKUP($AB53,'[1]5-4. Calorific&amp;Emission factor'!$P$9:$Y$74,4,FALSE)/1000000))</f>
        <v>17867.737614897662</v>
      </c>
      <c r="AV53" s="33">
        <f>IF($AB53="","",IF(VLOOKUP($AB53,'[1]5-1. Fuel Density'!$B$6:$G$19,6,0)="Use of other GHGs",0,$AS53*VLOOKUP($AB53,'[1]5-4. Calorific&amp;Emission factor'!$P$9:$Y$74,6,FALSE)/1000000))</f>
        <v>0.75710752605498577</v>
      </c>
      <c r="AW53" s="33">
        <f>IF($AB53="","",IF(VLOOKUP($AB53,'[1]5-1. Fuel Density'!$B$6:$G$19,6,0)="Use of other GHGs",0,$AS53*VLOOKUP($AB53,'[1]5-4. Calorific&amp;Emission factor'!$P$9:$Y$74,9,FALSE)/1000000))</f>
        <v>0.15142150521099715</v>
      </c>
    </row>
    <row r="54" spans="2:49">
      <c r="B54" s="23">
        <v>49</v>
      </c>
      <c r="C54" s="23" t="s">
        <v>94</v>
      </c>
      <c r="D54" s="23" t="s">
        <v>94</v>
      </c>
      <c r="E54" s="24" t="s">
        <v>41</v>
      </c>
      <c r="F54" s="24" t="s">
        <v>42</v>
      </c>
      <c r="G54" s="24" t="s">
        <v>43</v>
      </c>
      <c r="H54" s="24" t="s">
        <v>98</v>
      </c>
      <c r="I54" s="24" t="s">
        <v>51</v>
      </c>
      <c r="J54" s="24"/>
      <c r="K54" s="36">
        <v>22.350323296005644</v>
      </c>
      <c r="L54" s="27">
        <v>1.7052070937500003</v>
      </c>
      <c r="M54" s="27">
        <v>1.632528457894737</v>
      </c>
      <c r="N54" s="27">
        <v>2.1275677443609022</v>
      </c>
      <c r="O54" s="27">
        <v>1.73186</v>
      </c>
      <c r="P54" s="27">
        <v>2.2930799999999998</v>
      </c>
      <c r="Q54" s="27">
        <v>1.9880899999999999</v>
      </c>
      <c r="R54" s="27">
        <v>1.9474400000000001</v>
      </c>
      <c r="S54" s="27">
        <v>1.79691</v>
      </c>
      <c r="T54" s="27">
        <v>2.1555900000000001</v>
      </c>
      <c r="U54" s="27">
        <v>2.0594999999999999</v>
      </c>
      <c r="V54" s="27">
        <v>2.2655400000000001</v>
      </c>
      <c r="W54" s="27">
        <v>0.64700999999999997</v>
      </c>
      <c r="X54" s="28" t="s">
        <v>46</v>
      </c>
      <c r="Y54" s="23">
        <v>2023</v>
      </c>
      <c r="Z54" s="23" t="str">
        <f>VLOOKUP($E54,'[1]5-2. Emission Facility'!$B$7:$D$16,2,0)</f>
        <v>Vehicle</v>
      </c>
      <c r="AA54" s="23" t="str">
        <f>VLOOKUP($Z54,'[1]5-2. Emission Facility'!$C$7:$D$16,2,0)</f>
        <v>Mobile combustion</v>
      </c>
      <c r="AB54" s="23" t="str">
        <f>IF($C54="","",IF(VLOOKUP($C54,'[1]1. General Facility Information'!$C$7:$E$13,3,0)="Korea",'Scope 1'!$I54,INDEX('[1]5-1. Fuel Density'!$B$6:$B$18,MATCH('Scope 1'!$I54,'[1]5-1. Fuel Density'!$C$6:$C$18,0))))</f>
        <v>Automotive gasoline (petrol)</v>
      </c>
      <c r="AC54" s="23">
        <f t="shared" si="1"/>
        <v>1.7052070937500003</v>
      </c>
      <c r="AD54" s="23">
        <f t="shared" si="7"/>
        <v>1.632528457894737</v>
      </c>
      <c r="AE54" s="23">
        <f t="shared" si="7"/>
        <v>2.1275677443609022</v>
      </c>
      <c r="AF54" s="23">
        <f t="shared" si="6"/>
        <v>1.73186</v>
      </c>
      <c r="AG54" s="23">
        <f t="shared" si="6"/>
        <v>2.2930799999999998</v>
      </c>
      <c r="AH54" s="23">
        <f t="shared" si="6"/>
        <v>1.9880899999999999</v>
      </c>
      <c r="AI54" s="23">
        <f t="shared" si="6"/>
        <v>1.9474400000000001</v>
      </c>
      <c r="AJ54" s="23">
        <f t="shared" si="6"/>
        <v>1.79691</v>
      </c>
      <c r="AK54" s="23">
        <f t="shared" si="6"/>
        <v>2.1555900000000001</v>
      </c>
      <c r="AL54" s="23">
        <f t="shared" si="6"/>
        <v>2.0594999999999999</v>
      </c>
      <c r="AM54" s="23">
        <f t="shared" si="6"/>
        <v>2.2655400000000001</v>
      </c>
      <c r="AN54" s="23">
        <f t="shared" si="6"/>
        <v>0.64700999999999997</v>
      </c>
      <c r="AO54" s="23" t="str">
        <f t="shared" si="2"/>
        <v/>
      </c>
      <c r="AP54" s="34">
        <f t="shared" si="3"/>
        <v>22.350323296005644</v>
      </c>
      <c r="AQ54" s="23" t="str">
        <f t="shared" si="4"/>
        <v>㎥</v>
      </c>
      <c r="AR54" s="35">
        <f>IF($C54="","",$AP54*IF($AQ54="㎥",VLOOKUP('Scope 1'!AQ54,'[1]5-3. Unit Conversion'!$B$5:$J$13,3,FALSE)*VLOOKUP('Scope 1'!AB54,'[1]5-1. Fuel Density'!$B$6:$D$18,3,FALSE)*1000,IF($AQ54="kg",VLOOKUP('Scope 1'!AQ54,'[1]5-3. Unit Conversion'!$B$16:$G$21,3,FALSE),0)))</f>
        <v>16561.589562340181</v>
      </c>
      <c r="AS54" s="35">
        <f>IFERROR(IF($AB54="","",IF(VLOOKUP($AB54,'[1]5-1. Fuel Density'!$B$6:$G$19,6,0)="Use of other GHGs",0,IF($AB54="Industrial Wastes",$AR54*'[1]5-4. Calorific&amp;Emission factor'!$R$75,$AR54*VLOOKUP($AB54,'[1]5-4. Calorific&amp;Emission factor'!$P$9:$R$74,3,FALSE)))),0)</f>
        <v>733678.41761166998</v>
      </c>
      <c r="AT54" s="32">
        <f>IF($AB54="","",IF(OR($AB54="Hydrofluorocarbons(HFCs)",$AB54="ETC"),$AR54*VLOOKUP($J54,'[1]5-4. Calorific&amp;Emission factor'!$B$10:$D$14,3,0)/1000,IF(VLOOKUP($AB54,'[1]5-1. Fuel Density'!$B$6:$G$19,6,0)="Use of other GHGs",$AU54/1000,(($AU54*'[1]5-4. Calorific&amp;Emission factor'!$D$7)+($AV54*'[1]5-4. Calorific&amp;Emission factor'!$D$8)+($AW54*'[1]5-4. Calorific&amp;Emission factor'!$D$9))/1000)))</f>
        <v>51.023518817120063</v>
      </c>
      <c r="AU54" s="33">
        <f>IF($AB54="","",IF(VLOOKUP($AB54,'[1]5-1. Fuel Density'!$B$6:$G$19,6,0)="Use of other GHGs",$AR54*VLOOKUP($AB54,'[1]5-4. Calorific&amp;Emission factor'!$O$9:$Y$74,5,FALSE)/1000000,$AS54*VLOOKUP($AB54,'[1]5-4. Calorific&amp;Emission factor'!$P$9:$Y$74,4,FALSE)/1000000))</f>
        <v>50843.914340488729</v>
      </c>
      <c r="AV54" s="33">
        <f>IF($AB54="","",IF(VLOOKUP($AB54,'[1]5-1. Fuel Density'!$B$6:$G$19,6,0)="Use of other GHGs",0,$AS54*VLOOKUP($AB54,'[1]5-4. Calorific&amp;Emission factor'!$P$9:$Y$74,6,FALSE)/1000000))</f>
        <v>2.2010352528350103</v>
      </c>
      <c r="AW54" s="33">
        <f>IF($AB54="","",IF(VLOOKUP($AB54,'[1]5-1. Fuel Density'!$B$6:$G$19,6,0)="Use of other GHGs",0,$AS54*VLOOKUP($AB54,'[1]5-4. Calorific&amp;Emission factor'!$P$9:$Y$74,9,FALSE)/1000000))</f>
        <v>0.44020705056700199</v>
      </c>
    </row>
    <row r="55" spans="2:49">
      <c r="B55" s="23">
        <v>50</v>
      </c>
      <c r="C55" s="23" t="s">
        <v>39</v>
      </c>
      <c r="D55" s="23" t="s">
        <v>40</v>
      </c>
      <c r="E55" s="24" t="s">
        <v>41</v>
      </c>
      <c r="F55" s="24" t="s">
        <v>42</v>
      </c>
      <c r="G55" s="24" t="s">
        <v>43</v>
      </c>
      <c r="H55" s="24" t="s">
        <v>44</v>
      </c>
      <c r="I55" s="24" t="s">
        <v>51</v>
      </c>
      <c r="J55" s="38"/>
      <c r="K55" s="36">
        <v>25.500826496468711</v>
      </c>
      <c r="L55" s="27">
        <v>2.3113663000771236</v>
      </c>
      <c r="M55" s="27">
        <v>2.1434253754455854</v>
      </c>
      <c r="N55" s="27">
        <v>2.1233854169829538</v>
      </c>
      <c r="O55" s="27">
        <v>1.8817520996411026</v>
      </c>
      <c r="P55" s="27">
        <v>2.2068245167637288</v>
      </c>
      <c r="Q55" s="27">
        <v>2.1946790873924371</v>
      </c>
      <c r="R55" s="27">
        <v>2.1769467605103512</v>
      </c>
      <c r="S55" s="27">
        <v>2.3315580764068962</v>
      </c>
      <c r="T55" s="27">
        <v>1.9691202458234904</v>
      </c>
      <c r="U55" s="27">
        <v>2.1653393736602076</v>
      </c>
      <c r="V55" s="27">
        <v>1.8784121065639972</v>
      </c>
      <c r="W55" s="27">
        <v>2.1180171372008427</v>
      </c>
      <c r="X55" s="28" t="s">
        <v>46</v>
      </c>
      <c r="Y55" s="23">
        <v>2024</v>
      </c>
      <c r="Z55" s="23" t="str">
        <f>VLOOKUP($E55,'[1]5-2. Emission Facility'!$B$7:$D$16,2,0)</f>
        <v>Vehicle</v>
      </c>
      <c r="AA55" s="23" t="str">
        <f>VLOOKUP($Z55,'[1]5-2. Emission Facility'!$C$7:$D$16,2,0)</f>
        <v>Mobile combustion</v>
      </c>
      <c r="AB55" s="23" t="str">
        <f>IF($C55="","",IF(VLOOKUP($C55,'[1]1. General Facility Information'!$C$7:$E$13,3,0)="Korea",'Scope 1'!$I55,INDEX('[1]5-1. Fuel Density'!$B$6:$B$18,MATCH('Scope 1'!$I55,'[1]5-1. Fuel Density'!$C$6:$C$18,0))))</f>
        <v>Automotive gasoline (petrol)</v>
      </c>
      <c r="AC55" s="23">
        <f t="shared" si="1"/>
        <v>2.3113663000771236</v>
      </c>
      <c r="AD55" s="23">
        <f t="shared" si="7"/>
        <v>2.1434253754455854</v>
      </c>
      <c r="AE55" s="23">
        <f t="shared" si="7"/>
        <v>2.1233854169829538</v>
      </c>
      <c r="AF55" s="23">
        <f t="shared" si="6"/>
        <v>1.8817520996411026</v>
      </c>
      <c r="AG55" s="23">
        <f t="shared" si="6"/>
        <v>2.2068245167637288</v>
      </c>
      <c r="AH55" s="23">
        <f t="shared" si="6"/>
        <v>2.1946790873924371</v>
      </c>
      <c r="AI55" s="23">
        <f t="shared" si="6"/>
        <v>2.1769467605103512</v>
      </c>
      <c r="AJ55" s="23">
        <f t="shared" si="6"/>
        <v>2.3315580764068962</v>
      </c>
      <c r="AK55" s="23">
        <f t="shared" si="6"/>
        <v>1.9691202458234904</v>
      </c>
      <c r="AL55" s="23">
        <f t="shared" si="6"/>
        <v>2.1653393736602076</v>
      </c>
      <c r="AM55" s="23">
        <f t="shared" si="6"/>
        <v>1.8784121065639972</v>
      </c>
      <c r="AN55" s="23">
        <f t="shared" si="6"/>
        <v>2.1180171372008427</v>
      </c>
      <c r="AO55" s="23" t="str">
        <f t="shared" si="2"/>
        <v/>
      </c>
      <c r="AP55" s="29">
        <f t="shared" si="3"/>
        <v>25.500826496468711</v>
      </c>
      <c r="AQ55" s="23" t="str">
        <f t="shared" si="4"/>
        <v>㎥</v>
      </c>
      <c r="AR55" s="35">
        <f>IF($C55="","",$AP55*IF($AQ55="㎥",VLOOKUP('Scope 1'!AQ55,'[1]5-3. Unit Conversion'!$B$5:$J$13,3,FALSE)*VLOOKUP('Scope 1'!AB55,'[1]5-1. Fuel Density'!$B$6:$D$18,3,FALSE)*1000,IF($AQ55="kg",VLOOKUP('Scope 1'!AQ55,'[1]5-3. Unit Conversion'!$B$16:$G$21,3,FALSE),0)))</f>
        <v>18896.112433883314</v>
      </c>
      <c r="AS55" s="35">
        <f>IFERROR(IF($AB55="","",IF(VLOOKUP($AB55,'[1]5-1. Fuel Density'!$B$6:$G$19,6,0)="Use of other GHGs",0,IF($AB55="Industrial Wastes",$AR55*'[1]5-4. Calorific&amp;Emission factor'!$R$75,$AR55*VLOOKUP($AB55,'[1]5-4. Calorific&amp;Emission factor'!$P$9:$R$74,3,FALSE)))),0)</f>
        <v>837097.78082103073</v>
      </c>
      <c r="AT55" s="32">
        <f>IF($AB55="","",IF(OR($AB55="Hydrofluorocarbons(HFCs)",$AB55="ETC"),$AR55*VLOOKUP($J55,'[1]5-4. Calorific&amp;Emission factor'!$B$10:$D$14,3,0)/1000,IF(VLOOKUP($AB55,'[1]5-1. Fuel Density'!$B$6:$G$19,6,0)="Use of other GHGs",$AU55/1000,(($AU55*'[1]5-4. Calorific&amp;Emission factor'!$D$7)+($AV55*'[1]5-4. Calorific&amp;Emission factor'!$D$8)+($AW55*'[1]5-4. Calorific&amp;Emission factor'!$D$9))/1000)))</f>
        <v>58.215797747642419</v>
      </c>
      <c r="AU55" s="33">
        <f>IF($AB55="","",IF(VLOOKUP($AB55,'[1]5-1. Fuel Density'!$B$6:$G$19,6,0)="Use of other GHGs",$AR55*VLOOKUP($AB55,'[1]5-4. Calorific&amp;Emission factor'!$O$9:$Y$74,5,FALSE)/1000000,$AS55*VLOOKUP($AB55,'[1]5-4. Calorific&amp;Emission factor'!$P$9:$Y$74,4,FALSE)/1000000))</f>
        <v>58010.876210897433</v>
      </c>
      <c r="AV55" s="33">
        <f>IF($AB55="","",IF(VLOOKUP($AB55,'[1]5-1. Fuel Density'!$B$6:$G$19,6,0)="Use of other GHGs",0,$AS55*VLOOKUP($AB55,'[1]5-4. Calorific&amp;Emission factor'!$P$9:$Y$74,6,FALSE)/1000000))</f>
        <v>2.5112933424630919</v>
      </c>
      <c r="AW55" s="33">
        <f>IF($AB55="","",IF(VLOOKUP($AB55,'[1]5-1. Fuel Density'!$B$6:$G$19,6,0)="Use of other GHGs",0,$AS55*VLOOKUP($AB55,'[1]5-4. Calorific&amp;Emission factor'!$P$9:$Y$74,9,FALSE)/1000000))</f>
        <v>0.50225866849261847</v>
      </c>
    </row>
    <row r="56" spans="2:49">
      <c r="B56" s="23">
        <v>51</v>
      </c>
      <c r="C56" s="23" t="s">
        <v>53</v>
      </c>
      <c r="D56" s="23" t="s">
        <v>48</v>
      </c>
      <c r="E56" s="24" t="s">
        <v>41</v>
      </c>
      <c r="F56" s="24" t="s">
        <v>42</v>
      </c>
      <c r="G56" s="24" t="s">
        <v>49</v>
      </c>
      <c r="H56" s="24" t="s">
        <v>50</v>
      </c>
      <c r="I56" s="24" t="s">
        <v>51</v>
      </c>
      <c r="J56" s="38" t="s">
        <v>103</v>
      </c>
      <c r="K56" s="36">
        <v>20.409119999999998</v>
      </c>
      <c r="L56" s="27">
        <v>1.9216300000000002</v>
      </c>
      <c r="M56" s="27">
        <v>1.57361</v>
      </c>
      <c r="N56" s="27">
        <v>2.0060799999999999</v>
      </c>
      <c r="O56" s="27">
        <v>1.3238399999999999</v>
      </c>
      <c r="P56" s="27">
        <v>1.5596400000000001</v>
      </c>
      <c r="Q56" s="27">
        <v>1.6220000000000001</v>
      </c>
      <c r="R56" s="27">
        <v>1.57975</v>
      </c>
      <c r="S56" s="27">
        <v>2.0033599999999998</v>
      </c>
      <c r="T56" s="27">
        <v>1.5498599999999998</v>
      </c>
      <c r="U56" s="27">
        <v>1.94998</v>
      </c>
      <c r="V56" s="27">
        <v>1.78973</v>
      </c>
      <c r="W56" s="27">
        <v>1.5296400000000001</v>
      </c>
      <c r="X56" s="28" t="s">
        <v>46</v>
      </c>
      <c r="Y56" s="23">
        <v>2024</v>
      </c>
      <c r="Z56" s="23" t="str">
        <f>VLOOKUP($E56,'[1]5-2. Emission Facility'!$B$7:$D$16,2,0)</f>
        <v>Vehicle</v>
      </c>
      <c r="AA56" s="23" t="str">
        <f>VLOOKUP($Z56,'[1]5-2. Emission Facility'!$C$7:$D$16,2,0)</f>
        <v>Mobile combustion</v>
      </c>
      <c r="AB56" s="23" t="str">
        <f>IF($C56="","",IF(VLOOKUP($C56,'[1]1. General Facility Information'!$C$7:$E$13,3,0)="Korea",'Scope 1'!$I56,INDEX('[1]5-1. Fuel Density'!$B$6:$B$18,MATCH('Scope 1'!$I56,'[1]5-1. Fuel Density'!$C$6:$C$18,0))))</f>
        <v>Automotive gasoline (petrol)</v>
      </c>
      <c r="AC56" s="23">
        <f t="shared" si="1"/>
        <v>1.9216300000000002</v>
      </c>
      <c r="AD56" s="23">
        <f t="shared" si="7"/>
        <v>1.57361</v>
      </c>
      <c r="AE56" s="23">
        <f t="shared" si="7"/>
        <v>2.0060799999999999</v>
      </c>
      <c r="AF56" s="23">
        <f t="shared" si="6"/>
        <v>1.3238399999999999</v>
      </c>
      <c r="AG56" s="23">
        <f t="shared" si="6"/>
        <v>1.5596400000000001</v>
      </c>
      <c r="AH56" s="23">
        <f t="shared" si="6"/>
        <v>1.6220000000000001</v>
      </c>
      <c r="AI56" s="23">
        <f t="shared" si="6"/>
        <v>1.57975</v>
      </c>
      <c r="AJ56" s="23">
        <f t="shared" si="6"/>
        <v>2.0033599999999998</v>
      </c>
      <c r="AK56" s="23">
        <f t="shared" si="6"/>
        <v>1.5498599999999998</v>
      </c>
      <c r="AL56" s="23">
        <f t="shared" si="6"/>
        <v>1.94998</v>
      </c>
      <c r="AM56" s="23">
        <f t="shared" si="6"/>
        <v>1.78973</v>
      </c>
      <c r="AN56" s="23">
        <f t="shared" si="6"/>
        <v>1.5296400000000001</v>
      </c>
      <c r="AO56" s="23" t="str">
        <f t="shared" si="2"/>
        <v/>
      </c>
      <c r="AP56" s="34">
        <f t="shared" si="3"/>
        <v>20.409119999999998</v>
      </c>
      <c r="AQ56" s="23" t="str">
        <f t="shared" si="4"/>
        <v>㎥</v>
      </c>
      <c r="AR56" s="35">
        <f>IF($C56="","",$AP56*IF($AQ56="㎥",VLOOKUP('Scope 1'!AQ56,'[1]5-3. Unit Conversion'!$B$5:$J$13,3,FALSE)*VLOOKUP('Scope 1'!AB56,'[1]5-1. Fuel Density'!$B$6:$D$18,3,FALSE)*1000,IF($AQ56="kg",VLOOKUP('Scope 1'!AQ56,'[1]5-3. Unit Conversion'!$B$16:$G$21,3,FALSE),0)))</f>
        <v>15123.157919999998</v>
      </c>
      <c r="AS56" s="35">
        <f>IFERROR(IF($AB56="","",IF(VLOOKUP($AB56,'[1]5-1. Fuel Density'!$B$6:$G$19,6,0)="Use of other GHGs",0,IF($AB56="Industrial Wastes",$AR56*'[1]5-4. Calorific&amp;Emission factor'!$R$75,$AR56*VLOOKUP($AB56,'[1]5-4. Calorific&amp;Emission factor'!$P$9:$R$74,3,FALSE)))),0)</f>
        <v>669955.8958559999</v>
      </c>
      <c r="AT56" s="32">
        <f>IF($AB56="","",IF(OR($AB56="Hydrofluorocarbons(HFCs)",$AB56="ETC"),$AR56*VLOOKUP($J56,'[1]5-4. Calorific&amp;Emission factor'!$B$10:$D$14,3,0)/1000,IF(VLOOKUP($AB56,'[1]5-1. Fuel Density'!$B$6:$G$19,6,0)="Use of other GHGs",$AU56/1000,(($AU56*'[1]5-4. Calorific&amp;Emission factor'!$D$7)+($AV56*'[1]5-4. Calorific&amp;Emission factor'!$D$8)+($AW56*'[1]5-4. Calorific&amp;Emission factor'!$D$9))/1000)))</f>
        <v>46.591948786126338</v>
      </c>
      <c r="AU56" s="33">
        <f>IF($AB56="","",IF(VLOOKUP($AB56,'[1]5-1. Fuel Density'!$B$6:$G$19,6,0)="Use of other GHGs",$AR56*VLOOKUP($AB56,'[1]5-4. Calorific&amp;Emission factor'!$O$9:$Y$74,5,FALSE)/1000000,$AS56*VLOOKUP($AB56,'[1]5-4. Calorific&amp;Emission factor'!$P$9:$Y$74,4,FALSE)/1000000))</f>
        <v>46427.943582820793</v>
      </c>
      <c r="AV56" s="33">
        <f>IF($AB56="","",IF(VLOOKUP($AB56,'[1]5-1. Fuel Density'!$B$6:$G$19,6,0)="Use of other GHGs",0,$AS56*VLOOKUP($AB56,'[1]5-4. Calorific&amp;Emission factor'!$P$9:$Y$74,6,FALSE)/1000000))</f>
        <v>2.0098676875679997</v>
      </c>
      <c r="AW56" s="33">
        <f>IF($AB56="","",IF(VLOOKUP($AB56,'[1]5-1. Fuel Density'!$B$6:$G$19,6,0)="Use of other GHGs",0,$AS56*VLOOKUP($AB56,'[1]5-4. Calorific&amp;Emission factor'!$P$9:$Y$74,9,FALSE)/1000000))</f>
        <v>0.40197353751359993</v>
      </c>
    </row>
    <row r="57" spans="2:49">
      <c r="B57" s="23">
        <v>52</v>
      </c>
      <c r="C57" s="23" t="s">
        <v>53</v>
      </c>
      <c r="D57" s="23" t="s">
        <v>48</v>
      </c>
      <c r="E57" s="24" t="s">
        <v>54</v>
      </c>
      <c r="F57" s="24" t="s">
        <v>42</v>
      </c>
      <c r="G57" s="24" t="s">
        <v>55</v>
      </c>
      <c r="H57" s="24" t="s">
        <v>56</v>
      </c>
      <c r="I57" s="24" t="s">
        <v>57</v>
      </c>
      <c r="J57" s="38" t="s">
        <v>58</v>
      </c>
      <c r="K57" s="36">
        <v>262527</v>
      </c>
      <c r="L57" s="27">
        <v>24870</v>
      </c>
      <c r="M57" s="27">
        <v>22160</v>
      </c>
      <c r="N57" s="27">
        <v>28600</v>
      </c>
      <c r="O57" s="27">
        <v>19263</v>
      </c>
      <c r="P57" s="27">
        <v>18180</v>
      </c>
      <c r="Q57" s="27">
        <v>20158</v>
      </c>
      <c r="R57" s="27">
        <v>24747</v>
      </c>
      <c r="S57" s="27">
        <v>22908</v>
      </c>
      <c r="T57" s="27">
        <v>19031</v>
      </c>
      <c r="U57" s="27">
        <v>22654</v>
      </c>
      <c r="V57" s="27">
        <v>19060</v>
      </c>
      <c r="W57" s="27">
        <v>20896</v>
      </c>
      <c r="X57" s="28" t="s">
        <v>59</v>
      </c>
      <c r="Y57" s="23">
        <v>2024</v>
      </c>
      <c r="Z57" s="23" t="str">
        <f>VLOOKUP($E57,'[1]5-2. Emission Facility'!$B$7:$D$16,2,0)</f>
        <v>Boiler</v>
      </c>
      <c r="AA57" s="23" t="str">
        <f>VLOOKUP($Z57,'[1]5-2. Emission Facility'!$C$7:$D$16,2,0)</f>
        <v>Stationary Combustion</v>
      </c>
      <c r="AB57" s="23" t="str">
        <f>IF($C57="","",IF(VLOOKUP($C57,'[1]1. General Facility Information'!$C$7:$E$13,3,0)="Korea",'Scope 1'!$I57,INDEX('[1]5-1. Fuel Density'!$B$6:$B$18,MATCH('Scope 1'!$I57,'[1]5-1. Fuel Density'!$C$6:$C$18,0))))</f>
        <v>Industrial Wastes</v>
      </c>
      <c r="AC57" s="23">
        <f t="shared" si="1"/>
        <v>24870</v>
      </c>
      <c r="AD57" s="23">
        <f t="shared" si="7"/>
        <v>22160</v>
      </c>
      <c r="AE57" s="23">
        <f t="shared" si="7"/>
        <v>28600</v>
      </c>
      <c r="AF57" s="23">
        <f t="shared" si="6"/>
        <v>19263</v>
      </c>
      <c r="AG57" s="23">
        <f t="shared" si="6"/>
        <v>18180</v>
      </c>
      <c r="AH57" s="23">
        <f t="shared" si="6"/>
        <v>20158</v>
      </c>
      <c r="AI57" s="23">
        <f t="shared" si="6"/>
        <v>24747</v>
      </c>
      <c r="AJ57" s="23">
        <f t="shared" si="6"/>
        <v>22908</v>
      </c>
      <c r="AK57" s="23">
        <f t="shared" si="6"/>
        <v>19031</v>
      </c>
      <c r="AL57" s="23">
        <f t="shared" si="6"/>
        <v>22654</v>
      </c>
      <c r="AM57" s="23">
        <f t="shared" si="6"/>
        <v>19060</v>
      </c>
      <c r="AN57" s="23">
        <f t="shared" si="6"/>
        <v>20896</v>
      </c>
      <c r="AO57" s="23" t="str">
        <f t="shared" si="2"/>
        <v/>
      </c>
      <c r="AP57" s="34">
        <f t="shared" si="3"/>
        <v>262527</v>
      </c>
      <c r="AQ57" s="23" t="str">
        <f t="shared" si="4"/>
        <v>kg</v>
      </c>
      <c r="AR57" s="35">
        <f>IF($C57="","",$AP57*IF($AQ57="㎥",VLOOKUP('Scope 1'!AQ57,'[1]5-3. Unit Conversion'!$B$5:$J$13,3,FALSE)*VLOOKUP('Scope 1'!AB57,'[1]5-1. Fuel Density'!$B$6:$D$18,3,FALSE)*1000,IF($AQ57="kg",VLOOKUP('Scope 1'!AQ57,'[1]5-3. Unit Conversion'!$B$16:$G$21,3,FALSE),0)))</f>
        <v>262527</v>
      </c>
      <c r="AS57" s="35">
        <f>IFERROR(IF($AB57="","",IF(VLOOKUP($AB57,'[1]5-1. Fuel Density'!$B$6:$G$19,6,0)="Use of other GHGs",0,IF($AB57="Industrial Wastes",$AR57*'[1]5-4. Calorific&amp;Emission factor'!$R$75,$AR57*VLOOKUP($AB57,'[1]5-4. Calorific&amp;Emission factor'!$P$9:$R$74,3,FALSE)))),0)</f>
        <v>5711751.4870928824</v>
      </c>
      <c r="AT57" s="32">
        <f>IF($AB57="","",IF(OR($AB57="Hydrofluorocarbons(HFCs)",$AB57="ETC"),$AR57*VLOOKUP($J57,'[1]5-4. Calorific&amp;Emission factor'!$B$10:$D$14,3,0)/1000,IF(VLOOKUP($AB57,'[1]5-1. Fuel Density'!$B$6:$G$19,6,0)="Use of other GHGs",$AU57/1000,(($AU57*'[1]5-4. Calorific&amp;Emission factor'!$D$7)+($AV57*'[1]5-4. Calorific&amp;Emission factor'!$D$8)+($AW57*'[1]5-4. Calorific&amp;Emission factor'!$D$9))/1000)))</f>
        <v>827.64421398273282</v>
      </c>
      <c r="AU57" s="33">
        <f>IF($AB57="","",IF(VLOOKUP($AB57,'[1]5-1. Fuel Density'!$B$6:$G$19,6,0)="Use of other GHGs",$AR57*VLOOKUP($AB57,'[1]5-4. Calorific&amp;Emission factor'!$O$9:$Y$74,5,FALSE)/1000000,$AS57*VLOOKUP($AB57,'[1]5-4. Calorific&amp;Emission factor'!$P$9:$Y$74,4,FALSE)/1000000))</f>
        <v>816780.46265428222</v>
      </c>
      <c r="AV57" s="33">
        <f>IF($AB57="","",IF(VLOOKUP($AB57,'[1]5-1. Fuel Density'!$B$6:$G$19,6,0)="Use of other GHGs",0,$AS57*VLOOKUP($AB57,'[1]5-4. Calorific&amp;Emission factor'!$P$9:$Y$74,6,FALSE)/1000000))</f>
        <v>171.35254461278646</v>
      </c>
      <c r="AW57" s="33">
        <f>IF($AB57="","",IF(VLOOKUP($AB57,'[1]5-1. Fuel Density'!$B$6:$G$19,6,0)="Use of other GHGs",0,$AS57*VLOOKUP($AB57,'[1]5-4. Calorific&amp;Emission factor'!$P$9:$Y$74,9,FALSE)/1000000))</f>
        <v>22.847005948371528</v>
      </c>
    </row>
    <row r="58" spans="2:49">
      <c r="B58" s="23">
        <v>53</v>
      </c>
      <c r="C58" s="23" t="s">
        <v>53</v>
      </c>
      <c r="D58" s="23" t="s">
        <v>48</v>
      </c>
      <c r="E58" s="24" t="s">
        <v>60</v>
      </c>
      <c r="F58" s="24" t="s">
        <v>42</v>
      </c>
      <c r="G58" s="24" t="s">
        <v>49</v>
      </c>
      <c r="H58" s="24" t="s">
        <v>61</v>
      </c>
      <c r="I58" s="24" t="s">
        <v>62</v>
      </c>
      <c r="J58" s="38" t="s">
        <v>63</v>
      </c>
      <c r="K58" s="36">
        <v>1.6727099999999999</v>
      </c>
      <c r="L58" s="27">
        <v>0.12209</v>
      </c>
      <c r="M58" s="27">
        <v>0.12209</v>
      </c>
      <c r="N58" s="27">
        <v>0.123</v>
      </c>
      <c r="O58" s="27">
        <v>0.12209</v>
      </c>
      <c r="P58" s="27">
        <v>0.12209</v>
      </c>
      <c r="Q58" s="27">
        <v>0.12209</v>
      </c>
      <c r="R58" s="27">
        <v>0.12209</v>
      </c>
      <c r="S58" s="27">
        <v>0.12209</v>
      </c>
      <c r="T58" s="27">
        <v>0.12209</v>
      </c>
      <c r="U58" s="27">
        <v>0.20038</v>
      </c>
      <c r="V58" s="27">
        <v>0.21292</v>
      </c>
      <c r="W58" s="27">
        <v>0.15969</v>
      </c>
      <c r="X58" s="28" t="s">
        <v>46</v>
      </c>
      <c r="Y58" s="23">
        <v>2024</v>
      </c>
      <c r="Z58" s="23" t="str">
        <f>VLOOKUP($E58,'[1]5-2. Emission Facility'!$B$7:$D$16,2,0)</f>
        <v>Forklift</v>
      </c>
      <c r="AA58" s="23" t="str">
        <f>VLOOKUP($Z58,'[1]5-2. Emission Facility'!$C$7:$D$16,2,0)</f>
        <v>Mobile combustion</v>
      </c>
      <c r="AB58" s="23" t="str">
        <f>IF($C58="","",IF(VLOOKUP($C58,'[1]1. General Facility Information'!$C$7:$E$13,3,0)="Korea",'Scope 1'!$I58,INDEX('[1]5-1. Fuel Density'!$B$6:$B$18,MATCH('Scope 1'!$I58,'[1]5-1. Fuel Density'!$C$6:$C$18,0))))</f>
        <v>Biodiesel</v>
      </c>
      <c r="AC58" s="23">
        <f t="shared" si="1"/>
        <v>0.12209</v>
      </c>
      <c r="AD58" s="23">
        <f t="shared" si="7"/>
        <v>0.12209</v>
      </c>
      <c r="AE58" s="23">
        <f t="shared" si="7"/>
        <v>0.123</v>
      </c>
      <c r="AF58" s="23">
        <f t="shared" si="6"/>
        <v>0.12209</v>
      </c>
      <c r="AG58" s="23">
        <f t="shared" si="6"/>
        <v>0.12209</v>
      </c>
      <c r="AH58" s="23">
        <f t="shared" si="6"/>
        <v>0.12209</v>
      </c>
      <c r="AI58" s="23">
        <f t="shared" si="6"/>
        <v>0.12209</v>
      </c>
      <c r="AJ58" s="23">
        <f t="shared" si="6"/>
        <v>0.12209</v>
      </c>
      <c r="AK58" s="23">
        <f t="shared" si="6"/>
        <v>0.12209</v>
      </c>
      <c r="AL58" s="23">
        <f t="shared" si="6"/>
        <v>0.20038</v>
      </c>
      <c r="AM58" s="23">
        <f t="shared" si="6"/>
        <v>0.21292</v>
      </c>
      <c r="AN58" s="23">
        <f t="shared" si="6"/>
        <v>0.15969</v>
      </c>
      <c r="AO58" s="23" t="str">
        <f t="shared" si="2"/>
        <v/>
      </c>
      <c r="AP58" s="34">
        <f t="shared" si="3"/>
        <v>1.6727099999999999</v>
      </c>
      <c r="AQ58" s="23" t="str">
        <f t="shared" si="4"/>
        <v>㎥</v>
      </c>
      <c r="AR58" s="35">
        <f>IF($C58="","",$AP58*IF($AQ58="㎥",VLOOKUP('Scope 1'!AQ58,'[1]5-3. Unit Conversion'!$B$5:$J$13,3,FALSE)*VLOOKUP('Scope 1'!AB58,'[1]5-1. Fuel Density'!$B$6:$D$18,3,FALSE)*1000,IF($AQ58="kg",VLOOKUP('Scope 1'!AQ58,'[1]5-3. Unit Conversion'!$B$16:$G$21,3,FALSE),0)))</f>
        <v>1413.43995</v>
      </c>
      <c r="AS58" s="35">
        <f>IFERROR(IF($AB58="","",IF(VLOOKUP($AB58,'[1]5-1. Fuel Density'!$B$6:$G$19,6,0)="Use of other GHGs",0,IF($AB58="Industrial Wastes",$AR58*'[1]5-4. Calorific&amp;Emission factor'!$R$75,$AR58*VLOOKUP($AB58,'[1]5-4. Calorific&amp;Emission factor'!$P$9:$R$74,3,FALSE)))),0)</f>
        <v>38162.878649999999</v>
      </c>
      <c r="AT58" s="32">
        <f>IF($AB58="","",IF(OR($AB58="Hydrofluorocarbons(HFCs)",$AB58="ETC"),$AR58*VLOOKUP($J58,'[1]5-4. Calorific&amp;Emission factor'!$B$10:$D$14,3,0)/1000,IF(VLOOKUP($AB58,'[1]5-1. Fuel Density'!$B$6:$G$19,6,0)="Use of other GHGs",$AU58/1000,(($AU58*'[1]5-4. Calorific&amp;Emission factor'!$D$7)+($AV58*'[1]5-4. Calorific&amp;Emission factor'!$D$8)+($AW58*'[1]5-4. Calorific&amp;Emission factor'!$D$9))/1000)))</f>
        <v>2.7112740811135199</v>
      </c>
      <c r="AU58" s="33">
        <f>IF($AB58="","",IF(VLOOKUP($AB58,'[1]5-1. Fuel Density'!$B$6:$G$19,6,0)="Use of other GHGs",$AR58*VLOOKUP($AB58,'[1]5-4. Calorific&amp;Emission factor'!$O$9:$Y$74,5,FALSE)/1000000,$AS58*VLOOKUP($AB58,'[1]5-4. Calorific&amp;Emission factor'!$P$9:$Y$74,4,FALSE)/1000000))</f>
        <v>2701.9318084199999</v>
      </c>
      <c r="AV58" s="33">
        <f>IF($AB58="","",IF(VLOOKUP($AB58,'[1]5-1. Fuel Density'!$B$6:$G$19,6,0)="Use of other GHGs",0,$AS58*VLOOKUP($AB58,'[1]5-4. Calorific&amp;Emission factor'!$P$9:$Y$74,6,FALSE)/1000000))</f>
        <v>0.11448863595</v>
      </c>
      <c r="AW58" s="33">
        <f>IF($AB58="","",IF(VLOOKUP($AB58,'[1]5-1. Fuel Density'!$B$6:$G$19,6,0)="Use of other GHGs",0,$AS58*VLOOKUP($AB58,'[1]5-4. Calorific&amp;Emission factor'!$P$9:$Y$74,9,FALSE)/1000000))</f>
        <v>2.2897727189999998E-2</v>
      </c>
    </row>
    <row r="59" spans="2:49">
      <c r="B59" s="23">
        <v>54</v>
      </c>
      <c r="C59" s="23" t="s">
        <v>53</v>
      </c>
      <c r="D59" s="23" t="s">
        <v>48</v>
      </c>
      <c r="E59" s="24" t="s">
        <v>64</v>
      </c>
      <c r="F59" s="24" t="s">
        <v>42</v>
      </c>
      <c r="G59" s="24" t="s">
        <v>65</v>
      </c>
      <c r="H59" s="24" t="s">
        <v>66</v>
      </c>
      <c r="I59" s="24" t="s">
        <v>67</v>
      </c>
      <c r="J59" s="38" t="s">
        <v>68</v>
      </c>
      <c r="K59" s="36">
        <v>168</v>
      </c>
      <c r="L59" s="27">
        <v>24</v>
      </c>
      <c r="M59" s="27">
        <v>0</v>
      </c>
      <c r="N59" s="27">
        <v>24</v>
      </c>
      <c r="O59" s="27">
        <v>0</v>
      </c>
      <c r="P59" s="27">
        <v>24</v>
      </c>
      <c r="Q59" s="27">
        <v>12</v>
      </c>
      <c r="R59" s="27">
        <v>24</v>
      </c>
      <c r="S59" s="27">
        <v>0</v>
      </c>
      <c r="T59" s="27">
        <v>24</v>
      </c>
      <c r="U59" s="27">
        <v>12</v>
      </c>
      <c r="V59" s="27">
        <v>12</v>
      </c>
      <c r="W59" s="27">
        <v>12</v>
      </c>
      <c r="X59" s="28" t="s">
        <v>59</v>
      </c>
      <c r="Y59" s="23">
        <v>2024</v>
      </c>
      <c r="Z59" s="23" t="str">
        <f>VLOOKUP($E59,'[1]5-2. Emission Facility'!$B$7:$D$16,2,0)</f>
        <v>Kitchen</v>
      </c>
      <c r="AA59" s="23" t="str">
        <f>VLOOKUP($Z59,'[1]5-2. Emission Facility'!$C$7:$D$16,2,0)</f>
        <v>Others</v>
      </c>
      <c r="AB59" s="23" t="str">
        <f>IF($C59="","",IF(VLOOKUP($C59,'[1]1. General Facility Information'!$C$7:$E$13,3,0)="Korea",'Scope 1'!$I59,INDEX('[1]5-1. Fuel Density'!$B$6:$B$18,MATCH('Scope 1'!$I59,'[1]5-1. Fuel Density'!$C$6:$C$18,0))))</f>
        <v>Liquefied Petroleum Gas (LPG)</v>
      </c>
      <c r="AC59" s="23">
        <f t="shared" si="1"/>
        <v>24</v>
      </c>
      <c r="AD59" s="23">
        <f t="shared" si="7"/>
        <v>0</v>
      </c>
      <c r="AE59" s="23">
        <f t="shared" si="7"/>
        <v>24</v>
      </c>
      <c r="AF59" s="23">
        <f t="shared" si="6"/>
        <v>0</v>
      </c>
      <c r="AG59" s="23">
        <f t="shared" si="6"/>
        <v>24</v>
      </c>
      <c r="AH59" s="23">
        <f t="shared" si="6"/>
        <v>12</v>
      </c>
      <c r="AI59" s="23">
        <f t="shared" si="6"/>
        <v>24</v>
      </c>
      <c r="AJ59" s="23">
        <f t="shared" si="6"/>
        <v>0</v>
      </c>
      <c r="AK59" s="23">
        <f t="shared" si="6"/>
        <v>24</v>
      </c>
      <c r="AL59" s="23">
        <f t="shared" si="6"/>
        <v>12</v>
      </c>
      <c r="AM59" s="23">
        <f t="shared" si="6"/>
        <v>12</v>
      </c>
      <c r="AN59" s="23">
        <f t="shared" si="6"/>
        <v>12</v>
      </c>
      <c r="AO59" s="23" t="str">
        <f t="shared" si="2"/>
        <v/>
      </c>
      <c r="AP59" s="34">
        <f t="shared" si="3"/>
        <v>168</v>
      </c>
      <c r="AQ59" s="23" t="str">
        <f t="shared" si="4"/>
        <v>kg</v>
      </c>
      <c r="AR59" s="35">
        <f>IF($C59="","",$AP59*IF($AQ59="㎥",VLOOKUP('Scope 1'!AQ59,'[1]5-3. Unit Conversion'!$B$5:$J$13,3,FALSE)*VLOOKUP('Scope 1'!AB59,'[1]5-1. Fuel Density'!$B$6:$D$18,3,FALSE)*1000,IF($AQ59="kg",VLOOKUP('Scope 1'!AQ59,'[1]5-3. Unit Conversion'!$B$16:$G$21,3,FALSE),0)))</f>
        <v>168</v>
      </c>
      <c r="AS59" s="35">
        <f>IFERROR(IF($AB59="","",IF(VLOOKUP($AB59,'[1]5-1. Fuel Density'!$B$6:$G$19,6,0)="Use of other GHGs",0,IF($AB59="Industrial Wastes",$AR59*'[1]5-4. Calorific&amp;Emission factor'!$R$75,$AR59*VLOOKUP($AB59,'[1]5-4. Calorific&amp;Emission factor'!$P$9:$R$74,3,FALSE)))),0)</f>
        <v>7946.4</v>
      </c>
      <c r="AT59" s="32">
        <f>IF($AB59="","",IF(OR($AB59="Hydrofluorocarbons(HFCs)",$AB59="ETC"),$AR59*VLOOKUP($J59,'[1]5-4. Calorific&amp;Emission factor'!$B$10:$D$14,3,0)/1000,IF(VLOOKUP($AB59,'[1]5-1. Fuel Density'!$B$6:$G$19,6,0)="Use of other GHGs",$AU59/1000,(($AU59*'[1]5-4. Calorific&amp;Emission factor'!$D$7)+($AV59*'[1]5-4. Calorific&amp;Emission factor'!$D$8)+($AW59*'[1]5-4. Calorific&amp;Emission factor'!$D$9))/1000)))</f>
        <v>0.50184932951999994</v>
      </c>
      <c r="AU59" s="33">
        <f>IF($AB59="","",IF(VLOOKUP($AB59,'[1]5-1. Fuel Density'!$B$6:$G$19,6,0)="Use of other GHGs",$AR59*VLOOKUP($AB59,'[1]5-4. Calorific&amp;Emission factor'!$O$9:$Y$74,5,FALSE)/1000000,$AS59*VLOOKUP($AB59,'[1]5-4. Calorific&amp;Emission factor'!$P$9:$Y$74,4,FALSE)/1000000))</f>
        <v>501.41784000000001</v>
      </c>
      <c r="AV59" s="33">
        <f>IF($AB59="","",IF(VLOOKUP($AB59,'[1]5-1. Fuel Density'!$B$6:$G$19,6,0)="Use of other GHGs",0,$AS59*VLOOKUP($AB59,'[1]5-4. Calorific&amp;Emission factor'!$P$9:$Y$74,6,FALSE)/1000000))</f>
        <v>7.9463999999999993E-3</v>
      </c>
      <c r="AW59" s="33">
        <f>IF($AB59="","",IF(VLOOKUP($AB59,'[1]5-1. Fuel Density'!$B$6:$G$19,6,0)="Use of other GHGs",0,$AS59*VLOOKUP($AB59,'[1]5-4. Calorific&amp;Emission factor'!$P$9:$Y$74,9,FALSE)/1000000))</f>
        <v>7.9463999999999999E-4</v>
      </c>
    </row>
    <row r="60" spans="2:49">
      <c r="B60" s="23">
        <v>55</v>
      </c>
      <c r="C60" s="23" t="s">
        <v>69</v>
      </c>
      <c r="D60" s="23" t="s">
        <v>70</v>
      </c>
      <c r="E60" s="24" t="s">
        <v>71</v>
      </c>
      <c r="F60" s="24" t="s">
        <v>42</v>
      </c>
      <c r="G60" s="24" t="s">
        <v>72</v>
      </c>
      <c r="H60" s="24"/>
      <c r="I60" s="24" t="s">
        <v>67</v>
      </c>
      <c r="J60" s="38" t="s">
        <v>68</v>
      </c>
      <c r="K60" s="36">
        <v>871.78000000000009</v>
      </c>
      <c r="L60" s="27">
        <v>61.38</v>
      </c>
      <c r="M60" s="27">
        <v>73.84</v>
      </c>
      <c r="N60" s="27">
        <v>73.84</v>
      </c>
      <c r="O60" s="27">
        <v>73.38</v>
      </c>
      <c r="P60" s="27">
        <v>73.84</v>
      </c>
      <c r="Q60" s="27">
        <v>73.38</v>
      </c>
      <c r="R60" s="27">
        <v>73.38</v>
      </c>
      <c r="S60" s="27">
        <v>73.38</v>
      </c>
      <c r="T60" s="27">
        <v>73.84</v>
      </c>
      <c r="U60" s="27">
        <v>73.84</v>
      </c>
      <c r="V60" s="27">
        <v>73.84</v>
      </c>
      <c r="W60" s="27">
        <v>73.84</v>
      </c>
      <c r="X60" s="28" t="s">
        <v>59</v>
      </c>
      <c r="Y60" s="23">
        <v>2024</v>
      </c>
      <c r="Z60" s="23" t="str">
        <f>VLOOKUP($E60,'[1]5-2. Emission Facility'!$B$7:$D$16,2,0)</f>
        <v>Mess</v>
      </c>
      <c r="AA60" s="23" t="str">
        <f>VLOOKUP($Z60,'[1]5-2. Emission Facility'!$C$7:$D$16,2,0)</f>
        <v>Others</v>
      </c>
      <c r="AB60" s="23" t="str">
        <f>IF($C60="","",IF(VLOOKUP($C60,'[1]1. General Facility Information'!$C$7:$E$13,3,0)="Korea",'Scope 1'!$I60,INDEX('[1]5-1. Fuel Density'!$B$6:$B$18,MATCH('Scope 1'!$I60,'[1]5-1. Fuel Density'!$C$6:$C$18,0))))</f>
        <v>Liquefied Petroleum Gas (LPG)</v>
      </c>
      <c r="AC60" s="23">
        <f t="shared" si="1"/>
        <v>61.38</v>
      </c>
      <c r="AD60" s="23">
        <f t="shared" si="7"/>
        <v>73.84</v>
      </c>
      <c r="AE60" s="23">
        <f t="shared" si="7"/>
        <v>73.84</v>
      </c>
      <c r="AF60" s="23">
        <f t="shared" si="6"/>
        <v>73.38</v>
      </c>
      <c r="AG60" s="23">
        <f t="shared" si="6"/>
        <v>73.84</v>
      </c>
      <c r="AH60" s="23">
        <f t="shared" si="6"/>
        <v>73.38</v>
      </c>
      <c r="AI60" s="23">
        <f t="shared" si="6"/>
        <v>73.38</v>
      </c>
      <c r="AJ60" s="23">
        <f t="shared" si="6"/>
        <v>73.38</v>
      </c>
      <c r="AK60" s="23">
        <f t="shared" si="6"/>
        <v>73.84</v>
      </c>
      <c r="AL60" s="23">
        <f t="shared" si="6"/>
        <v>73.84</v>
      </c>
      <c r="AM60" s="23">
        <f t="shared" si="6"/>
        <v>73.84</v>
      </c>
      <c r="AN60" s="23">
        <f t="shared" si="6"/>
        <v>73.84</v>
      </c>
      <c r="AO60" s="23" t="str">
        <f t="shared" si="2"/>
        <v/>
      </c>
      <c r="AP60" s="34">
        <f t="shared" si="3"/>
        <v>871.78000000000009</v>
      </c>
      <c r="AQ60" s="23" t="str">
        <f t="shared" si="4"/>
        <v>kg</v>
      </c>
      <c r="AR60" s="35">
        <f>IF($C60="","",$AP60*IF($AQ60="㎥",VLOOKUP('Scope 1'!AQ60,'[1]5-3. Unit Conversion'!$B$5:$J$13,3,FALSE)*VLOOKUP('Scope 1'!AB60,'[1]5-1. Fuel Density'!$B$6:$D$18,3,FALSE)*1000,IF($AQ60="kg",VLOOKUP('Scope 1'!AQ60,'[1]5-3. Unit Conversion'!$B$16:$G$21,3,FALSE),0)))</f>
        <v>871.78000000000009</v>
      </c>
      <c r="AS60" s="35">
        <f>IFERROR(IF($AB60="","",IF(VLOOKUP($AB60,'[1]5-1. Fuel Density'!$B$6:$G$19,6,0)="Use of other GHGs",0,IF($AB60="Industrial Wastes",$AR60*'[1]5-4. Calorific&amp;Emission factor'!$R$75,$AR60*VLOOKUP($AB60,'[1]5-4. Calorific&amp;Emission factor'!$P$9:$R$74,3,FALSE)))),0)</f>
        <v>41235.194000000003</v>
      </c>
      <c r="AT60" s="32">
        <f>IF($AB60="","",IF(OR($AB60="Hydrofluorocarbons(HFCs)",$AB60="ETC"),$AR60*VLOOKUP($J60,'[1]5-4. Calorific&amp;Emission factor'!$B$10:$D$14,3,0)/1000,IF(VLOOKUP($AB60,'[1]5-1. Fuel Density'!$B$6:$G$19,6,0)="Use of other GHGs",$AU60/1000,(($AU60*'[1]5-4. Calorific&amp;Emission factor'!$D$7)+($AV60*'[1]5-4. Calorific&amp;Emission factor'!$D$8)+($AW60*'[1]5-4. Calorific&amp;Emission factor'!$D$9))/1000)))</f>
        <v>2.6041798124341997</v>
      </c>
      <c r="AU60" s="33">
        <f>IF($AB60="","",IF(VLOOKUP($AB60,'[1]5-1. Fuel Density'!$B$6:$G$19,6,0)="Use of other GHGs",$AR60*VLOOKUP($AB60,'[1]5-4. Calorific&amp;Emission factor'!$O$9:$Y$74,5,FALSE)/1000000,$AS60*VLOOKUP($AB60,'[1]5-4. Calorific&amp;Emission factor'!$P$9:$Y$74,4,FALSE)/1000000))</f>
        <v>2601.9407414000002</v>
      </c>
      <c r="AV60" s="33">
        <f>IF($AB60="","",IF(VLOOKUP($AB60,'[1]5-1. Fuel Density'!$B$6:$G$19,6,0)="Use of other GHGs",0,$AS60*VLOOKUP($AB60,'[1]5-4. Calorific&amp;Emission factor'!$P$9:$Y$74,6,FALSE)/1000000))</f>
        <v>4.1235194000000003E-2</v>
      </c>
      <c r="AW60" s="33">
        <f>IF($AB60="","",IF(VLOOKUP($AB60,'[1]5-1. Fuel Density'!$B$6:$G$19,6,0)="Use of other GHGs",0,$AS60*VLOOKUP($AB60,'[1]5-4. Calorific&amp;Emission factor'!$P$9:$Y$74,9,FALSE)/1000000))</f>
        <v>4.1235194000000001E-3</v>
      </c>
    </row>
    <row r="61" spans="2:49">
      <c r="B61" s="23">
        <v>56</v>
      </c>
      <c r="C61" s="23" t="s">
        <v>69</v>
      </c>
      <c r="D61" s="23" t="s">
        <v>70</v>
      </c>
      <c r="E61" s="24" t="s">
        <v>73</v>
      </c>
      <c r="F61" s="24" t="s">
        <v>42</v>
      </c>
      <c r="G61" s="24" t="s">
        <v>72</v>
      </c>
      <c r="H61" s="24"/>
      <c r="I61" s="24" t="s">
        <v>74</v>
      </c>
      <c r="J61" s="38" t="s">
        <v>90</v>
      </c>
      <c r="K61" s="36">
        <v>3.38</v>
      </c>
      <c r="L61" s="27">
        <v>0.24399999999999999</v>
      </c>
      <c r="M61" s="27">
        <v>0.106</v>
      </c>
      <c r="N61" s="27">
        <v>0.85</v>
      </c>
      <c r="O61" s="27">
        <v>0.25</v>
      </c>
      <c r="P61" s="27">
        <v>0.1</v>
      </c>
      <c r="Q61" s="27">
        <v>0.105</v>
      </c>
      <c r="R61" s="27">
        <v>0.125</v>
      </c>
      <c r="S61" s="27">
        <v>0.15</v>
      </c>
      <c r="T61" s="27">
        <v>0.125</v>
      </c>
      <c r="U61" s="27">
        <v>0.85</v>
      </c>
      <c r="V61" s="27">
        <v>0.375</v>
      </c>
      <c r="W61" s="27">
        <v>0.1</v>
      </c>
      <c r="X61" s="28" t="s">
        <v>46</v>
      </c>
      <c r="Y61" s="23">
        <v>2024</v>
      </c>
      <c r="Z61" s="23" t="str">
        <f>VLOOKUP($E61,'[1]5-2. Emission Facility'!$B$7:$D$16,2,0)</f>
        <v>Generator</v>
      </c>
      <c r="AA61" s="23" t="str">
        <f>VLOOKUP($Z61,'[1]5-2. Emission Facility'!$C$7:$D$16,2,0)</f>
        <v>Stationary Combustion</v>
      </c>
      <c r="AB61" s="23" t="str">
        <f>IF($C61="","",IF(VLOOKUP($C61,'[1]1. General Facility Information'!$C$7:$E$13,3,0)="Korea",'Scope 1'!$I61,INDEX('[1]5-1. Fuel Density'!$B$6:$B$18,MATCH('Scope 1'!$I61,'[1]5-1. Fuel Density'!$C$6:$C$18,0))))</f>
        <v>Gas / Diesel oil</v>
      </c>
      <c r="AC61" s="23">
        <f t="shared" si="1"/>
        <v>0.24399999999999999</v>
      </c>
      <c r="AD61" s="23">
        <f t="shared" si="7"/>
        <v>0.106</v>
      </c>
      <c r="AE61" s="23">
        <f t="shared" si="7"/>
        <v>0.85</v>
      </c>
      <c r="AF61" s="23">
        <f t="shared" si="6"/>
        <v>0.25</v>
      </c>
      <c r="AG61" s="23">
        <f t="shared" si="6"/>
        <v>0.1</v>
      </c>
      <c r="AH61" s="23">
        <f t="shared" si="6"/>
        <v>0.105</v>
      </c>
      <c r="AI61" s="23">
        <f t="shared" si="6"/>
        <v>0.125</v>
      </c>
      <c r="AJ61" s="23">
        <f t="shared" si="6"/>
        <v>0.15</v>
      </c>
      <c r="AK61" s="23">
        <f t="shared" si="6"/>
        <v>0.125</v>
      </c>
      <c r="AL61" s="23">
        <f t="shared" si="6"/>
        <v>0.85</v>
      </c>
      <c r="AM61" s="23">
        <f t="shared" si="6"/>
        <v>0.375</v>
      </c>
      <c r="AN61" s="23">
        <f t="shared" si="6"/>
        <v>0.1</v>
      </c>
      <c r="AO61" s="23" t="str">
        <f t="shared" si="2"/>
        <v/>
      </c>
      <c r="AP61" s="34">
        <f t="shared" si="3"/>
        <v>3.38</v>
      </c>
      <c r="AQ61" s="23" t="str">
        <f t="shared" si="4"/>
        <v>㎥</v>
      </c>
      <c r="AR61" s="35">
        <f>IF($C61="","",$AP61*IF($AQ61="㎥",VLOOKUP('Scope 1'!AQ61,'[1]5-3. Unit Conversion'!$B$5:$J$13,3,FALSE)*VLOOKUP('Scope 1'!AB61,'[1]5-1. Fuel Density'!$B$6:$D$18,3,FALSE)*1000,IF($AQ61="kg",VLOOKUP('Scope 1'!AQ61,'[1]5-3. Unit Conversion'!$B$16:$G$21,3,FALSE),0)))</f>
        <v>2852.72</v>
      </c>
      <c r="AS61" s="35">
        <f>IFERROR(IF($AB61="","",IF(VLOOKUP($AB61,'[1]5-1. Fuel Density'!$B$6:$G$19,6,0)="Use of other GHGs",0,IF($AB61="Industrial Wastes",$AR61*'[1]5-4. Calorific&amp;Emission factor'!$R$75,$AR61*VLOOKUP($AB61,'[1]5-4. Calorific&amp;Emission factor'!$P$9:$R$74,3,FALSE)))),0)</f>
        <v>122666.95999999999</v>
      </c>
      <c r="AT61" s="32">
        <f>IF($AB61="","",IF(OR($AB61="Hydrofluorocarbons(HFCs)",$AB61="ETC"),$AR61*VLOOKUP($J61,'[1]5-4. Calorific&amp;Emission factor'!$B$10:$D$14,3,0)/1000,IF(VLOOKUP($AB61,'[1]5-1. Fuel Density'!$B$6:$G$19,6,0)="Use of other GHGs",$AU61/1000,(($AU61*'[1]5-4. Calorific&amp;Emission factor'!$D$7)+($AV61*'[1]5-4. Calorific&amp;Emission factor'!$D$8)+($AW61*'[1]5-4. Calorific&amp;Emission factor'!$D$9))/1000)))</f>
        <v>9.1196506078079977</v>
      </c>
      <c r="AU61" s="33">
        <f>IF($AB61="","",IF(VLOOKUP($AB61,'[1]5-1. Fuel Density'!$B$6:$G$19,6,0)="Use of other GHGs",$AR61*VLOOKUP($AB61,'[1]5-4. Calorific&amp;Emission factor'!$O$9:$Y$74,5,FALSE)/1000000,$AS61*VLOOKUP($AB61,'[1]5-4. Calorific&amp;Emission factor'!$P$9:$Y$74,4,FALSE)/1000000))</f>
        <v>9089.6217359999991</v>
      </c>
      <c r="AV61" s="33">
        <f>IF($AB61="","",IF(VLOOKUP($AB61,'[1]5-1. Fuel Density'!$B$6:$G$19,6,0)="Use of other GHGs",0,$AS61*VLOOKUP($AB61,'[1]5-4. Calorific&amp;Emission factor'!$P$9:$Y$74,6,FALSE)/1000000))</f>
        <v>0.36800088000000003</v>
      </c>
      <c r="AW61" s="33">
        <f>IF($AB61="","",IF(VLOOKUP($AB61,'[1]5-1. Fuel Density'!$B$6:$G$19,6,0)="Use of other GHGs",0,$AS61*VLOOKUP($AB61,'[1]5-4. Calorific&amp;Emission factor'!$P$9:$Y$74,9,FALSE)/1000000))</f>
        <v>7.3600175999999989E-2</v>
      </c>
    </row>
    <row r="62" spans="2:49">
      <c r="B62" s="23">
        <v>57</v>
      </c>
      <c r="C62" s="23" t="s">
        <v>69</v>
      </c>
      <c r="D62" s="23" t="s">
        <v>70</v>
      </c>
      <c r="E62" s="24" t="s">
        <v>54</v>
      </c>
      <c r="F62" s="24" t="s">
        <v>42</v>
      </c>
      <c r="G62" s="24" t="s">
        <v>72</v>
      </c>
      <c r="H62" s="24"/>
      <c r="I62" s="24" t="s">
        <v>57</v>
      </c>
      <c r="J62" s="38" t="s">
        <v>76</v>
      </c>
      <c r="K62" s="36">
        <v>364500</v>
      </c>
      <c r="L62" s="27">
        <v>29700</v>
      </c>
      <c r="M62" s="27">
        <v>27000</v>
      </c>
      <c r="N62" s="27">
        <v>27000</v>
      </c>
      <c r="O62" s="27">
        <v>17550</v>
      </c>
      <c r="P62" s="27">
        <v>27000</v>
      </c>
      <c r="Q62" s="27">
        <v>33750</v>
      </c>
      <c r="R62" s="27">
        <v>41850</v>
      </c>
      <c r="S62" s="27">
        <v>31050</v>
      </c>
      <c r="T62" s="27">
        <v>27000</v>
      </c>
      <c r="U62" s="27">
        <v>32400</v>
      </c>
      <c r="V62" s="27">
        <v>28350</v>
      </c>
      <c r="W62" s="27">
        <v>41850</v>
      </c>
      <c r="X62" s="28" t="s">
        <v>59</v>
      </c>
      <c r="Y62" s="23">
        <v>2024</v>
      </c>
      <c r="Z62" s="23" t="str">
        <f>VLOOKUP($E62,'[1]5-2. Emission Facility'!$B$7:$D$16,2,0)</f>
        <v>Boiler</v>
      </c>
      <c r="AA62" s="23" t="str">
        <f>VLOOKUP($Z62,'[1]5-2. Emission Facility'!$C$7:$D$16,2,0)</f>
        <v>Stationary Combustion</v>
      </c>
      <c r="AB62" s="23" t="str">
        <f>IF($C62="","",IF(VLOOKUP($C62,'[1]1. General Facility Information'!$C$7:$E$13,3,0)="Korea",'Scope 1'!$I62,INDEX('[1]5-1. Fuel Density'!$B$6:$B$18,MATCH('Scope 1'!$I62,'[1]5-1. Fuel Density'!$C$6:$C$18,0))))</f>
        <v>Industrial Wastes</v>
      </c>
      <c r="AC62" s="23">
        <f t="shared" si="1"/>
        <v>29700</v>
      </c>
      <c r="AD62" s="23">
        <f t="shared" si="7"/>
        <v>27000</v>
      </c>
      <c r="AE62" s="23">
        <f t="shared" si="7"/>
        <v>27000</v>
      </c>
      <c r="AF62" s="23">
        <f t="shared" si="6"/>
        <v>17550</v>
      </c>
      <c r="AG62" s="23">
        <f t="shared" si="6"/>
        <v>27000</v>
      </c>
      <c r="AH62" s="23">
        <f t="shared" si="6"/>
        <v>33750</v>
      </c>
      <c r="AI62" s="23">
        <f t="shared" si="6"/>
        <v>41850</v>
      </c>
      <c r="AJ62" s="23">
        <f t="shared" si="6"/>
        <v>31050</v>
      </c>
      <c r="AK62" s="23">
        <f t="shared" si="6"/>
        <v>27000</v>
      </c>
      <c r="AL62" s="23">
        <f t="shared" si="6"/>
        <v>32400</v>
      </c>
      <c r="AM62" s="23">
        <f t="shared" si="6"/>
        <v>28350</v>
      </c>
      <c r="AN62" s="23">
        <f t="shared" si="6"/>
        <v>41850</v>
      </c>
      <c r="AO62" s="23" t="str">
        <f t="shared" si="2"/>
        <v/>
      </c>
      <c r="AP62" s="34">
        <f t="shared" si="3"/>
        <v>364500</v>
      </c>
      <c r="AQ62" s="23" t="str">
        <f t="shared" si="4"/>
        <v>kg</v>
      </c>
      <c r="AR62" s="35">
        <f>IF($C62="","",$AP62*IF($AQ62="㎥",VLOOKUP('Scope 1'!AQ62,'[1]5-3. Unit Conversion'!$B$5:$J$13,3,FALSE)*VLOOKUP('Scope 1'!AB62,'[1]5-1. Fuel Density'!$B$6:$D$18,3,FALSE)*1000,IF($AQ62="kg",VLOOKUP('Scope 1'!AQ62,'[1]5-3. Unit Conversion'!$B$16:$G$21,3,FALSE),0)))</f>
        <v>364500</v>
      </c>
      <c r="AS62" s="35">
        <f>IFERROR(IF($AB62="","",IF(VLOOKUP($AB62,'[1]5-1. Fuel Density'!$B$6:$G$19,6,0)="Use of other GHGs",0,IF($AB62="Industrial Wastes",$AR62*'[1]5-4. Calorific&amp;Emission factor'!$R$75,$AR62*VLOOKUP($AB62,'[1]5-4. Calorific&amp;Emission factor'!$P$9:$R$74,3,FALSE)))),0)</f>
        <v>7930359.2279855246</v>
      </c>
      <c r="AT62" s="32">
        <f>IF($AB62="","",IF(OR($AB62="Hydrofluorocarbons(HFCs)",$AB62="ETC"),$AR62*VLOOKUP($J62,'[1]5-4. Calorific&amp;Emission factor'!$B$10:$D$14,3,0)/1000,IF(VLOOKUP($AB62,'[1]5-1. Fuel Density'!$B$6:$G$19,6,0)="Use of other GHGs",$AU62/1000,(($AU62*'[1]5-4. Calorific&amp;Emission factor'!$D$7)+($AV62*'[1]5-4. Calorific&amp;Emission factor'!$D$8)+($AW62*'[1]5-4. Calorific&amp;Emission factor'!$D$9))/1000)))</f>
        <v>1149.1249128535585</v>
      </c>
      <c r="AU62" s="33">
        <f>IF($AB62="","",IF(VLOOKUP($AB62,'[1]5-1. Fuel Density'!$B$6:$G$19,6,0)="Use of other GHGs",$AR62*VLOOKUP($AB62,'[1]5-4. Calorific&amp;Emission factor'!$O$9:$Y$74,5,FALSE)/1000000,$AS62*VLOOKUP($AB62,'[1]5-4. Calorific&amp;Emission factor'!$P$9:$Y$74,4,FALSE)/1000000))</f>
        <v>1134041.36960193</v>
      </c>
      <c r="AV62" s="33">
        <f>IF($AB62="","",IF(VLOOKUP($AB62,'[1]5-1. Fuel Density'!$B$6:$G$19,6,0)="Use of other GHGs",0,$AS62*VLOOKUP($AB62,'[1]5-4. Calorific&amp;Emission factor'!$P$9:$Y$74,6,FALSE)/1000000))</f>
        <v>237.91077683956573</v>
      </c>
      <c r="AW62" s="33">
        <f>IF($AB62="","",IF(VLOOKUP($AB62,'[1]5-1. Fuel Density'!$B$6:$G$19,6,0)="Use of other GHGs",0,$AS62*VLOOKUP($AB62,'[1]5-4. Calorific&amp;Emission factor'!$P$9:$Y$74,9,FALSE)/1000000))</f>
        <v>31.721436911942099</v>
      </c>
    </row>
    <row r="63" spans="2:49">
      <c r="B63" s="23">
        <v>58</v>
      </c>
      <c r="C63" s="23" t="s">
        <v>69</v>
      </c>
      <c r="D63" s="23" t="s">
        <v>70</v>
      </c>
      <c r="E63" s="24" t="s">
        <v>77</v>
      </c>
      <c r="F63" s="24" t="s">
        <v>78</v>
      </c>
      <c r="G63" s="24" t="s">
        <v>72</v>
      </c>
      <c r="H63" s="24"/>
      <c r="I63" s="24" t="s">
        <v>80</v>
      </c>
      <c r="J63" s="24" t="s">
        <v>81</v>
      </c>
      <c r="K63" s="36">
        <v>11.6</v>
      </c>
      <c r="L63" s="27"/>
      <c r="M63" s="27"/>
      <c r="N63" s="27"/>
      <c r="O63" s="27"/>
      <c r="P63" s="27"/>
      <c r="Q63" s="27"/>
      <c r="R63" s="27"/>
      <c r="S63" s="27"/>
      <c r="T63" s="27">
        <v>11.6</v>
      </c>
      <c r="U63" s="27"/>
      <c r="V63" s="27"/>
      <c r="W63" s="27"/>
      <c r="X63" s="28" t="s">
        <v>59</v>
      </c>
      <c r="Y63" s="23">
        <v>2024</v>
      </c>
      <c r="Z63" s="23" t="str">
        <f>VLOOKUP($E63,'[1]5-2. Emission Facility'!$B$7:$D$16,2,0)</f>
        <v>AC</v>
      </c>
      <c r="AA63" s="23" t="str">
        <f>VLOOKUP($Z63,'[1]5-2. Emission Facility'!$C$7:$D$16,2,0)</f>
        <v>Process Emissions</v>
      </c>
      <c r="AB63" s="23" t="str">
        <f>IF($C63="","",IF(VLOOKUP($C63,'[1]1. General Facility Information'!$C$7:$E$13,3,0)="Korea",'Scope 1'!$I63,INDEX('[1]5-1. Fuel Density'!$B$6:$B$18,MATCH('Scope 1'!$I63,'[1]5-1. Fuel Density'!$C$6:$C$18,0))))</f>
        <v>Hydrofluorocarbons(HFCs)</v>
      </c>
      <c r="AC63" s="23">
        <f t="shared" si="1"/>
        <v>0</v>
      </c>
      <c r="AD63" s="23">
        <f t="shared" si="7"/>
        <v>0</v>
      </c>
      <c r="AE63" s="23">
        <f t="shared" si="7"/>
        <v>0</v>
      </c>
      <c r="AF63" s="23">
        <f t="shared" si="6"/>
        <v>0</v>
      </c>
      <c r="AG63" s="23">
        <f t="shared" si="6"/>
        <v>0</v>
      </c>
      <c r="AH63" s="23">
        <f t="shared" si="6"/>
        <v>0</v>
      </c>
      <c r="AI63" s="23">
        <f t="shared" si="6"/>
        <v>0</v>
      </c>
      <c r="AJ63" s="23">
        <f t="shared" si="6"/>
        <v>0</v>
      </c>
      <c r="AK63" s="23">
        <f t="shared" si="6"/>
        <v>11.6</v>
      </c>
      <c r="AL63" s="23">
        <f t="shared" si="6"/>
        <v>0</v>
      </c>
      <c r="AM63" s="23">
        <f t="shared" si="6"/>
        <v>0</v>
      </c>
      <c r="AN63" s="23">
        <f t="shared" si="6"/>
        <v>0</v>
      </c>
      <c r="AO63" s="23" t="str">
        <f t="shared" si="2"/>
        <v/>
      </c>
      <c r="AP63" s="34">
        <f t="shared" si="3"/>
        <v>11.6</v>
      </c>
      <c r="AQ63" s="23" t="str">
        <f t="shared" si="4"/>
        <v>kg</v>
      </c>
      <c r="AR63" s="35">
        <f>IF($C63="","",$AP63*IF($AQ63="㎥",VLOOKUP('Scope 1'!AQ63,'[1]5-3. Unit Conversion'!$B$5:$J$13,3,FALSE)*VLOOKUP('Scope 1'!AB63,'[1]5-1. Fuel Density'!$B$6:$D$18,3,FALSE)*1000,IF($AQ63="kg",VLOOKUP('Scope 1'!AQ63,'[1]5-3. Unit Conversion'!$B$16:$G$21,3,FALSE),0)))</f>
        <v>11.6</v>
      </c>
      <c r="AS63" s="35">
        <f>IFERROR(IF($AB63="","",IF(VLOOKUP($AB63,'[1]5-1. Fuel Density'!$B$6:$G$19,6,0)="Use of other GHGs",0,IF($AB63="Industrial Wastes",$AR63*'[1]5-4. Calorific&amp;Emission factor'!$R$75,$AR63*VLOOKUP($AB63,'[1]5-4. Calorific&amp;Emission factor'!$P$9:$R$74,3,FALSE)))),0)</f>
        <v>0</v>
      </c>
      <c r="AT63" s="32">
        <f>IF($AB63="","",IF(OR($AB63="Hydrofluorocarbons(HFCs)",$AB63="ETC"),$AR63*VLOOKUP($J63,'[1]5-4. Calorific&amp;Emission factor'!$B$10:$D$14,3,0)/1000,IF(VLOOKUP($AB63,'[1]5-1. Fuel Density'!$B$6:$G$19,6,0)="Use of other GHGs",$AU63/1000,(($AU63*'[1]5-4. Calorific&amp;Emission factor'!$D$7)+($AV63*'[1]5-4. Calorific&amp;Emission factor'!$D$8)+($AW63*'[1]5-4. Calorific&amp;Emission factor'!$D$9))/1000)))</f>
        <v>26.163799999999998</v>
      </c>
      <c r="AU63" s="33">
        <f>IF($AB63="","",IF(VLOOKUP($AB63,'[1]5-1. Fuel Density'!$B$6:$G$19,6,0)="Use of other GHGs",$AR63*VLOOKUP($AB63,'[1]5-4. Calorific&amp;Emission factor'!$O$9:$Y$74,5,FALSE)/1000000,$AS63*VLOOKUP($AB63,'[1]5-4. Calorific&amp;Emission factor'!$P$9:$Y$74,4,FALSE)/1000000))</f>
        <v>0</v>
      </c>
      <c r="AV63" s="33">
        <f>IF($AB63="","",IF(VLOOKUP($AB63,'[1]5-1. Fuel Density'!$B$6:$G$19,6,0)="Use of other GHGs",0,$AS63*VLOOKUP($AB63,'[1]5-4. Calorific&amp;Emission factor'!$P$9:$Y$74,6,FALSE)/1000000))</f>
        <v>0</v>
      </c>
      <c r="AW63" s="33">
        <f>IF($AB63="","",IF(VLOOKUP($AB63,'[1]5-1. Fuel Density'!$B$6:$G$19,6,0)="Use of other GHGs",0,$AS63*VLOOKUP($AB63,'[1]5-4. Calorific&amp;Emission factor'!$P$9:$Y$74,9,FALSE)/1000000))</f>
        <v>0</v>
      </c>
    </row>
    <row r="64" spans="2:49">
      <c r="B64" s="23">
        <v>59</v>
      </c>
      <c r="C64" s="23" t="s">
        <v>69</v>
      </c>
      <c r="D64" s="23" t="s">
        <v>70</v>
      </c>
      <c r="E64" s="24" t="s">
        <v>77</v>
      </c>
      <c r="F64" s="24" t="s">
        <v>78</v>
      </c>
      <c r="G64" s="24" t="s">
        <v>104</v>
      </c>
      <c r="H64" s="24"/>
      <c r="I64" s="24" t="s">
        <v>82</v>
      </c>
      <c r="J64" s="38" t="s">
        <v>105</v>
      </c>
      <c r="K64" s="36">
        <v>10</v>
      </c>
      <c r="L64" s="27"/>
      <c r="M64" s="27"/>
      <c r="N64" s="27"/>
      <c r="O64" s="27"/>
      <c r="P64" s="27">
        <v>10</v>
      </c>
      <c r="Q64" s="27"/>
      <c r="R64" s="27"/>
      <c r="S64" s="27"/>
      <c r="T64" s="27"/>
      <c r="U64" s="27"/>
      <c r="V64" s="27"/>
      <c r="W64" s="27"/>
      <c r="X64" s="28" t="s">
        <v>59</v>
      </c>
      <c r="Y64" s="23">
        <v>2024</v>
      </c>
      <c r="Z64" s="23" t="str">
        <f>VLOOKUP($E64,'[1]5-2. Emission Facility'!$B$7:$D$16,2,0)</f>
        <v>AC</v>
      </c>
      <c r="AA64" s="23" t="str">
        <f>VLOOKUP($Z64,'[1]5-2. Emission Facility'!$C$7:$D$16,2,0)</f>
        <v>Process Emissions</v>
      </c>
      <c r="AB64" s="23" t="str">
        <f>IF($C64="","",IF(VLOOKUP($C64,'[1]1. General Facility Information'!$C$7:$E$13,3,0)="Korea",'Scope 1'!$I64,INDEX('[1]5-1. Fuel Density'!$B$6:$B$18,MATCH('Scope 1'!$I64,'[1]5-1. Fuel Density'!$C$6:$C$18,0))))</f>
        <v>Hydrofluorocarbons(HFCs)</v>
      </c>
      <c r="AC64" s="23">
        <f t="shared" si="1"/>
        <v>0</v>
      </c>
      <c r="AD64" s="23">
        <f t="shared" si="7"/>
        <v>0</v>
      </c>
      <c r="AE64" s="23">
        <f t="shared" si="7"/>
        <v>0</v>
      </c>
      <c r="AF64" s="23">
        <f t="shared" si="6"/>
        <v>0</v>
      </c>
      <c r="AG64" s="23">
        <f t="shared" si="6"/>
        <v>10</v>
      </c>
      <c r="AH64" s="23">
        <f t="shared" si="6"/>
        <v>0</v>
      </c>
      <c r="AI64" s="23">
        <f t="shared" si="6"/>
        <v>0</v>
      </c>
      <c r="AJ64" s="23">
        <f t="shared" si="6"/>
        <v>0</v>
      </c>
      <c r="AK64" s="23">
        <f t="shared" si="6"/>
        <v>0</v>
      </c>
      <c r="AL64" s="23">
        <f t="shared" si="6"/>
        <v>0</v>
      </c>
      <c r="AM64" s="23">
        <f t="shared" si="6"/>
        <v>0</v>
      </c>
      <c r="AN64" s="23">
        <f t="shared" si="6"/>
        <v>0</v>
      </c>
      <c r="AO64" s="23" t="str">
        <f t="shared" si="2"/>
        <v/>
      </c>
      <c r="AP64" s="34">
        <f t="shared" si="3"/>
        <v>10</v>
      </c>
      <c r="AQ64" s="23" t="str">
        <f t="shared" si="4"/>
        <v>kg</v>
      </c>
      <c r="AR64" s="35">
        <f>IF($C64="","",$AP64*IF($AQ64="㎥",VLOOKUP('Scope 1'!AQ64,'[1]5-3. Unit Conversion'!$B$5:$J$13,3,FALSE)*VLOOKUP('Scope 1'!AB64,'[1]5-1. Fuel Density'!$B$6:$D$18,3,FALSE)*1000,IF($AQ64="kg",VLOOKUP('Scope 1'!AQ64,'[1]5-3. Unit Conversion'!$B$16:$G$21,3,FALSE),0)))</f>
        <v>10</v>
      </c>
      <c r="AS64" s="35">
        <f>IFERROR(IF($AB64="","",IF(VLOOKUP($AB64,'[1]5-1. Fuel Density'!$B$6:$G$19,6,0)="Use of other GHGs",0,IF($AB64="Industrial Wastes",$AR64*'[1]5-4. Calorific&amp;Emission factor'!$R$75,$AR64*VLOOKUP($AB64,'[1]5-4. Calorific&amp;Emission factor'!$P$9:$R$74,3,FALSE)))),0)</f>
        <v>0</v>
      </c>
      <c r="AT64" s="32">
        <f>IF($AB64="","",IF(OR($AB64="Hydrofluorocarbons(HFCs)",$AB64="ETC"),$AR64*VLOOKUP($J64,'[1]5-4. Calorific&amp;Emission factor'!$B$10:$D$14,3,0)/1000,IF(VLOOKUP($AB64,'[1]5-1. Fuel Density'!$B$6:$G$19,6,0)="Use of other GHGs",$AU64/1000,(($AU64*'[1]5-4. Calorific&amp;Emission factor'!$D$7)+($AV64*'[1]5-4. Calorific&amp;Emission factor'!$D$8)+($AW64*'[1]5-4. Calorific&amp;Emission factor'!$D$9))/1000)))</f>
        <v>7.71</v>
      </c>
      <c r="AU64" s="33">
        <f>IF($AB64="","",IF(VLOOKUP($AB64,'[1]5-1. Fuel Density'!$B$6:$G$19,6,0)="Use of other GHGs",$AR64*VLOOKUP($AB64,'[1]5-4. Calorific&amp;Emission factor'!$O$9:$Y$74,5,FALSE)/1000000,$AS64*VLOOKUP($AB64,'[1]5-4. Calorific&amp;Emission factor'!$P$9:$Y$74,4,FALSE)/1000000))</f>
        <v>0</v>
      </c>
      <c r="AV64" s="33">
        <f>IF($AB64="","",IF(VLOOKUP($AB64,'[1]5-1. Fuel Density'!$B$6:$G$19,6,0)="Use of other GHGs",0,$AS64*VLOOKUP($AB64,'[1]5-4. Calorific&amp;Emission factor'!$P$9:$Y$74,6,FALSE)/1000000))</f>
        <v>0</v>
      </c>
      <c r="AW64" s="33">
        <f>IF($AB64="","",IF(VLOOKUP($AB64,'[1]5-1. Fuel Density'!$B$6:$G$19,6,0)="Use of other GHGs",0,$AS64*VLOOKUP($AB64,'[1]5-4. Calorific&amp;Emission factor'!$P$9:$Y$74,9,FALSE)/1000000))</f>
        <v>0</v>
      </c>
    </row>
    <row r="65" spans="2:49">
      <c r="B65" s="23">
        <v>60</v>
      </c>
      <c r="C65" s="23" t="s">
        <v>69</v>
      </c>
      <c r="D65" s="23" t="s">
        <v>70</v>
      </c>
      <c r="E65" s="24" t="s">
        <v>84</v>
      </c>
      <c r="F65" s="24" t="s">
        <v>42</v>
      </c>
      <c r="G65" s="24" t="s">
        <v>43</v>
      </c>
      <c r="H65" s="24"/>
      <c r="I65" s="24" t="s">
        <v>85</v>
      </c>
      <c r="J65" s="38" t="s">
        <v>86</v>
      </c>
      <c r="K65" s="36">
        <v>19.046000000000003</v>
      </c>
      <c r="L65" s="27">
        <v>1.343</v>
      </c>
      <c r="M65" s="27">
        <v>1.3089999999999999</v>
      </c>
      <c r="N65" s="27">
        <v>1.744</v>
      </c>
      <c r="O65" s="27">
        <v>0.999</v>
      </c>
      <c r="P65" s="27">
        <v>1.5940000000000001</v>
      </c>
      <c r="Q65" s="27">
        <v>1.6040000000000001</v>
      </c>
      <c r="R65" s="27">
        <v>1.698</v>
      </c>
      <c r="S65" s="27">
        <v>0.36799999999999999</v>
      </c>
      <c r="T65" s="27">
        <v>1.9039999999999999</v>
      </c>
      <c r="U65" s="27">
        <v>2.1019999999999999</v>
      </c>
      <c r="V65" s="27">
        <v>2.2440000000000002</v>
      </c>
      <c r="W65" s="27">
        <v>2.137</v>
      </c>
      <c r="X65" s="28" t="s">
        <v>46</v>
      </c>
      <c r="Y65" s="23">
        <v>2024</v>
      </c>
      <c r="Z65" s="23" t="str">
        <f>VLOOKUP($E65,'[1]5-2. Emission Facility'!$B$7:$D$16,2,0)</f>
        <v>Vehicle</v>
      </c>
      <c r="AA65" s="23" t="str">
        <f>VLOOKUP($Z65,'[1]5-2. Emission Facility'!$C$7:$D$16,2,0)</f>
        <v>Mobile combustion</v>
      </c>
      <c r="AB65" s="23" t="str">
        <f>IF($C65="","",IF(VLOOKUP($C65,'[1]1. General Facility Information'!$C$7:$E$13,3,0)="Korea",'Scope 1'!$I65,INDEX('[1]5-1. Fuel Density'!$B$6:$B$18,MATCH('Scope 1'!$I65,'[1]5-1. Fuel Density'!$C$6:$C$18,0))))</f>
        <v>Automotive gasoline (petrol)</v>
      </c>
      <c r="AC65" s="23">
        <f t="shared" si="1"/>
        <v>1.343</v>
      </c>
      <c r="AD65" s="23">
        <f t="shared" si="7"/>
        <v>1.3089999999999999</v>
      </c>
      <c r="AE65" s="23">
        <f t="shared" si="7"/>
        <v>1.744</v>
      </c>
      <c r="AF65" s="23">
        <f t="shared" si="6"/>
        <v>0.999</v>
      </c>
      <c r="AG65" s="23">
        <f t="shared" si="6"/>
        <v>1.5940000000000001</v>
      </c>
      <c r="AH65" s="23">
        <f t="shared" si="6"/>
        <v>1.6040000000000001</v>
      </c>
      <c r="AI65" s="23">
        <f t="shared" si="6"/>
        <v>1.698</v>
      </c>
      <c r="AJ65" s="23">
        <f t="shared" si="6"/>
        <v>0.36799999999999999</v>
      </c>
      <c r="AK65" s="23">
        <f t="shared" si="6"/>
        <v>1.9039999999999999</v>
      </c>
      <c r="AL65" s="23">
        <f t="shared" si="6"/>
        <v>2.1019999999999999</v>
      </c>
      <c r="AM65" s="23">
        <f t="shared" si="6"/>
        <v>2.2440000000000002</v>
      </c>
      <c r="AN65" s="23">
        <f t="shared" si="6"/>
        <v>2.137</v>
      </c>
      <c r="AO65" s="23" t="str">
        <f t="shared" si="2"/>
        <v/>
      </c>
      <c r="AP65" s="34">
        <f t="shared" si="3"/>
        <v>19.046000000000003</v>
      </c>
      <c r="AQ65" s="23" t="str">
        <f t="shared" si="4"/>
        <v>㎥</v>
      </c>
      <c r="AR65" s="35">
        <f>IF($C65="","",$AP65*IF($AQ65="㎥",VLOOKUP('Scope 1'!AQ65,'[1]5-3. Unit Conversion'!$B$5:$J$13,3,FALSE)*VLOOKUP('Scope 1'!AB65,'[1]5-1. Fuel Density'!$B$6:$D$18,3,FALSE)*1000,IF($AQ65="kg",VLOOKUP('Scope 1'!AQ65,'[1]5-3. Unit Conversion'!$B$16:$G$21,3,FALSE),0)))</f>
        <v>14113.086000000003</v>
      </c>
      <c r="AS65" s="35">
        <f>IFERROR(IF($AB65="","",IF(VLOOKUP($AB65,'[1]5-1. Fuel Density'!$B$6:$G$19,6,0)="Use of other GHGs",0,IF($AB65="Industrial Wastes",$AR65*'[1]5-4. Calorific&amp;Emission factor'!$R$75,$AR65*VLOOKUP($AB65,'[1]5-4. Calorific&amp;Emission factor'!$P$9:$R$74,3,FALSE)))),0)</f>
        <v>625209.70980000007</v>
      </c>
      <c r="AT65" s="32">
        <f>IF($AB65="","",IF(OR($AB65="Hydrofluorocarbons(HFCs)",$AB65="ETC"),$AR65*VLOOKUP($J65,'[1]5-4. Calorific&amp;Emission factor'!$B$10:$D$14,3,0)/1000,IF(VLOOKUP($AB65,'[1]5-1. Fuel Density'!$B$6:$G$19,6,0)="Use of other GHGs",$AU65/1000,(($AU65*'[1]5-4. Calorific&amp;Emission factor'!$D$7)+($AV65*'[1]5-4. Calorific&amp;Emission factor'!$D$8)+($AW65*'[1]5-4. Calorific&amp;Emission factor'!$D$9))/1000)))</f>
        <v>43.480084226099045</v>
      </c>
      <c r="AU65" s="33">
        <f>IF($AB65="","",IF(VLOOKUP($AB65,'[1]5-1. Fuel Density'!$B$6:$G$19,6,0)="Use of other GHGs",$AR65*VLOOKUP($AB65,'[1]5-4. Calorific&amp;Emission factor'!$O$9:$Y$74,5,FALSE)/1000000,$AS65*VLOOKUP($AB65,'[1]5-4. Calorific&amp;Emission factor'!$P$9:$Y$74,4,FALSE)/1000000))</f>
        <v>43327.032889140006</v>
      </c>
      <c r="AV65" s="33">
        <f>IF($AB65="","",IF(VLOOKUP($AB65,'[1]5-1. Fuel Density'!$B$6:$G$19,6,0)="Use of other GHGs",0,$AS65*VLOOKUP($AB65,'[1]5-4. Calorific&amp;Emission factor'!$P$9:$Y$74,6,FALSE)/1000000))</f>
        <v>1.8756291294000003</v>
      </c>
      <c r="AW65" s="33">
        <f>IF($AB65="","",IF(VLOOKUP($AB65,'[1]5-1. Fuel Density'!$B$6:$G$19,6,0)="Use of other GHGs",0,$AS65*VLOOKUP($AB65,'[1]5-4. Calorific&amp;Emission factor'!$P$9:$Y$74,9,FALSE)/1000000))</f>
        <v>0.37512582588000004</v>
      </c>
    </row>
    <row r="66" spans="2:49">
      <c r="B66" s="23">
        <v>61</v>
      </c>
      <c r="C66" s="23" t="s">
        <v>69</v>
      </c>
      <c r="D66" s="23" t="s">
        <v>70</v>
      </c>
      <c r="E66" s="24" t="s">
        <v>84</v>
      </c>
      <c r="F66" s="24" t="s">
        <v>42</v>
      </c>
      <c r="G66" s="24" t="s">
        <v>43</v>
      </c>
      <c r="H66" s="24"/>
      <c r="I66" s="24" t="s">
        <v>85</v>
      </c>
      <c r="J66" s="38" t="s">
        <v>87</v>
      </c>
      <c r="K66" s="36">
        <v>42.312629000000001</v>
      </c>
      <c r="L66" s="27">
        <v>3.1156599999999997</v>
      </c>
      <c r="M66" s="27">
        <v>2.5305</v>
      </c>
      <c r="N66" s="27">
        <v>3.3820899999999998</v>
      </c>
      <c r="O66" s="27">
        <v>2.5822799999999999</v>
      </c>
      <c r="P66" s="27">
        <v>4.1134799999999991</v>
      </c>
      <c r="Q66" s="27">
        <v>4.1083690000000006</v>
      </c>
      <c r="R66" s="27">
        <v>4.2064500000000002</v>
      </c>
      <c r="S66" s="27">
        <v>0.77240000000000009</v>
      </c>
      <c r="T66" s="27">
        <v>5.0026999999999999</v>
      </c>
      <c r="U66" s="27">
        <v>4.6664200000000005</v>
      </c>
      <c r="V66" s="27">
        <v>4.7467100000000002</v>
      </c>
      <c r="W66" s="27">
        <v>3.0855700000000001</v>
      </c>
      <c r="X66" s="28" t="s">
        <v>46</v>
      </c>
      <c r="Y66" s="23">
        <v>2024</v>
      </c>
      <c r="Z66" s="23" t="str">
        <f>VLOOKUP($E66,'[1]5-2. Emission Facility'!$B$7:$D$16,2,0)</f>
        <v>Vehicle</v>
      </c>
      <c r="AA66" s="23" t="str">
        <f>VLOOKUP($Z66,'[1]5-2. Emission Facility'!$C$7:$D$16,2,0)</f>
        <v>Mobile combustion</v>
      </c>
      <c r="AB66" s="23" t="str">
        <f>IF($C66="","",IF(VLOOKUP($C66,'[1]1. General Facility Information'!$C$7:$E$13,3,0)="Korea",'Scope 1'!$I66,INDEX('[1]5-1. Fuel Density'!$B$6:$B$18,MATCH('Scope 1'!$I66,'[1]5-1. Fuel Density'!$C$6:$C$18,0))))</f>
        <v>Automotive gasoline (petrol)</v>
      </c>
      <c r="AC66" s="23">
        <f t="shared" si="1"/>
        <v>3.1156599999999997</v>
      </c>
      <c r="AD66" s="23">
        <f t="shared" si="7"/>
        <v>2.5305</v>
      </c>
      <c r="AE66" s="23">
        <f t="shared" si="7"/>
        <v>3.3820899999999998</v>
      </c>
      <c r="AF66" s="23">
        <f t="shared" si="6"/>
        <v>2.5822799999999999</v>
      </c>
      <c r="AG66" s="23">
        <f t="shared" si="6"/>
        <v>4.1134799999999991</v>
      </c>
      <c r="AH66" s="23">
        <f t="shared" si="6"/>
        <v>4.1083690000000006</v>
      </c>
      <c r="AI66" s="23">
        <f t="shared" si="6"/>
        <v>4.2064500000000002</v>
      </c>
      <c r="AJ66" s="23">
        <f t="shared" si="6"/>
        <v>0.77240000000000009</v>
      </c>
      <c r="AK66" s="23">
        <f t="shared" si="6"/>
        <v>5.0026999999999999</v>
      </c>
      <c r="AL66" s="23">
        <f t="shared" si="6"/>
        <v>4.6664200000000005</v>
      </c>
      <c r="AM66" s="23">
        <f t="shared" si="6"/>
        <v>4.7467100000000002</v>
      </c>
      <c r="AN66" s="23">
        <f t="shared" si="6"/>
        <v>3.0855700000000001</v>
      </c>
      <c r="AO66" s="23" t="str">
        <f t="shared" si="2"/>
        <v/>
      </c>
      <c r="AP66" s="34">
        <f t="shared" si="3"/>
        <v>42.312629000000001</v>
      </c>
      <c r="AQ66" s="23" t="str">
        <f t="shared" si="4"/>
        <v>㎥</v>
      </c>
      <c r="AR66" s="35">
        <f>IF($C66="","",$AP66*IF($AQ66="㎥",VLOOKUP('Scope 1'!AQ66,'[1]5-3. Unit Conversion'!$B$5:$J$13,3,FALSE)*VLOOKUP('Scope 1'!AB66,'[1]5-1. Fuel Density'!$B$6:$D$18,3,FALSE)*1000,IF($AQ66="kg",VLOOKUP('Scope 1'!AQ66,'[1]5-3. Unit Conversion'!$B$16:$G$21,3,FALSE),0)))</f>
        <v>31353.658089</v>
      </c>
      <c r="AS66" s="35">
        <f>IFERROR(IF($AB66="","",IF(VLOOKUP($AB66,'[1]5-1. Fuel Density'!$B$6:$G$19,6,0)="Use of other GHGs",0,IF($AB66="Industrial Wastes",$AR66*'[1]5-4. Calorific&amp;Emission factor'!$R$75,$AR66*VLOOKUP($AB66,'[1]5-4. Calorific&amp;Emission factor'!$P$9:$R$74,3,FALSE)))),0)</f>
        <v>1388967.0533427</v>
      </c>
      <c r="AT66" s="32">
        <f>IF($AB66="","",IF(OR($AB66="Hydrofluorocarbons(HFCs)",$AB66="ETC"),$AR66*VLOOKUP($J66,'[1]5-4. Calorific&amp;Emission factor'!$B$10:$D$14,3,0)/1000,IF(VLOOKUP($AB66,'[1]5-1. Fuel Density'!$B$6:$G$19,6,0)="Use of other GHGs",$AU66/1000,(($AU66*'[1]5-4. Calorific&amp;Emission factor'!$D$7)+($AV66*'[1]5-4. Calorific&amp;Emission factor'!$D$8)+($AW66*'[1]5-4. Calorific&amp;Emission factor'!$D$9))/1000)))</f>
        <v>96.595435931307406</v>
      </c>
      <c r="AU66" s="33">
        <f>IF($AB66="","",IF(VLOOKUP($AB66,'[1]5-1. Fuel Density'!$B$6:$G$19,6,0)="Use of other GHGs",$AR66*VLOOKUP($AB66,'[1]5-4. Calorific&amp;Emission factor'!$O$9:$Y$74,5,FALSE)/1000000,$AS66*VLOOKUP($AB66,'[1]5-4. Calorific&amp;Emission factor'!$P$9:$Y$74,4,FALSE)/1000000))</f>
        <v>96255.416796649108</v>
      </c>
      <c r="AV66" s="33">
        <f>IF($AB66="","",IF(VLOOKUP($AB66,'[1]5-1. Fuel Density'!$B$6:$G$19,6,0)="Use of other GHGs",0,$AS66*VLOOKUP($AB66,'[1]5-4. Calorific&amp;Emission factor'!$P$9:$Y$74,6,FALSE)/1000000))</f>
        <v>4.1669011600281003</v>
      </c>
      <c r="AW66" s="33">
        <f>IF($AB66="","",IF(VLOOKUP($AB66,'[1]5-1. Fuel Density'!$B$6:$G$19,6,0)="Use of other GHGs",0,$AS66*VLOOKUP($AB66,'[1]5-4. Calorific&amp;Emission factor'!$P$9:$Y$74,9,FALSE)/1000000))</f>
        <v>0.83338023200562006</v>
      </c>
    </row>
    <row r="67" spans="2:49">
      <c r="B67" s="23">
        <v>62</v>
      </c>
      <c r="C67" s="23" t="s">
        <v>69</v>
      </c>
      <c r="D67" s="23" t="s">
        <v>88</v>
      </c>
      <c r="E67" s="24" t="s">
        <v>71</v>
      </c>
      <c r="F67" s="24" t="s">
        <v>42</v>
      </c>
      <c r="G67" s="24" t="s">
        <v>72</v>
      </c>
      <c r="H67" s="24"/>
      <c r="I67" s="24" t="s">
        <v>67</v>
      </c>
      <c r="J67" s="38" t="s">
        <v>89</v>
      </c>
      <c r="K67" s="36">
        <v>1463.2971428571432</v>
      </c>
      <c r="L67" s="27">
        <v>146.46</v>
      </c>
      <c r="M67" s="27">
        <v>146.46</v>
      </c>
      <c r="N67" s="27"/>
      <c r="O67" s="27">
        <v>144</v>
      </c>
      <c r="P67" s="27">
        <v>146.46</v>
      </c>
      <c r="Q67" s="27">
        <v>146.46</v>
      </c>
      <c r="R67" s="27">
        <v>144</v>
      </c>
      <c r="S67" s="27">
        <v>146.46</v>
      </c>
      <c r="T67" s="27">
        <v>148.27000000000001</v>
      </c>
      <c r="U67" s="27">
        <v>1.8071428571428572</v>
      </c>
      <c r="V67" s="27">
        <v>146.46</v>
      </c>
      <c r="W67" s="27">
        <v>146.46</v>
      </c>
      <c r="X67" s="28" t="s">
        <v>59</v>
      </c>
      <c r="Y67" s="23">
        <v>2024</v>
      </c>
      <c r="Z67" s="23" t="str">
        <f>VLOOKUP($E67,'[1]5-2. Emission Facility'!$B$7:$D$16,2,0)</f>
        <v>Mess</v>
      </c>
      <c r="AA67" s="23" t="str">
        <f>VLOOKUP($Z67,'[1]5-2. Emission Facility'!$C$7:$D$16,2,0)</f>
        <v>Others</v>
      </c>
      <c r="AB67" s="23" t="str">
        <f>IF($C67="","",IF(VLOOKUP($C67,'[1]1. General Facility Information'!$C$7:$E$13,3,0)="Korea",'Scope 1'!$I67,INDEX('[1]5-1. Fuel Density'!$B$6:$B$18,MATCH('Scope 1'!$I67,'[1]5-1. Fuel Density'!$C$6:$C$18,0))))</f>
        <v>Liquefied Petroleum Gas (LPG)</v>
      </c>
      <c r="AC67" s="23">
        <f t="shared" si="1"/>
        <v>146.46</v>
      </c>
      <c r="AD67" s="23">
        <f t="shared" si="7"/>
        <v>146.46</v>
      </c>
      <c r="AE67" s="23">
        <f t="shared" si="7"/>
        <v>0</v>
      </c>
      <c r="AF67" s="23">
        <f t="shared" si="6"/>
        <v>144</v>
      </c>
      <c r="AG67" s="23">
        <f t="shared" si="6"/>
        <v>146.46</v>
      </c>
      <c r="AH67" s="23">
        <f t="shared" si="6"/>
        <v>146.46</v>
      </c>
      <c r="AI67" s="23">
        <f t="shared" si="6"/>
        <v>144</v>
      </c>
      <c r="AJ67" s="23">
        <f t="shared" si="6"/>
        <v>146.46</v>
      </c>
      <c r="AK67" s="23">
        <f t="shared" si="6"/>
        <v>148.27000000000001</v>
      </c>
      <c r="AL67" s="23">
        <f t="shared" si="6"/>
        <v>1.8071428571428572</v>
      </c>
      <c r="AM67" s="23">
        <f t="shared" si="6"/>
        <v>146.46</v>
      </c>
      <c r="AN67" s="23">
        <f t="shared" si="6"/>
        <v>146.46</v>
      </c>
      <c r="AO67" s="23" t="str">
        <f t="shared" si="2"/>
        <v/>
      </c>
      <c r="AP67" s="34">
        <f t="shared" si="3"/>
        <v>1463.2971428571432</v>
      </c>
      <c r="AQ67" s="23" t="str">
        <f t="shared" si="4"/>
        <v>kg</v>
      </c>
      <c r="AR67" s="35">
        <f>IF($C67="","",$AP67*IF($AQ67="㎥",VLOOKUP('Scope 1'!AQ67,'[1]5-3. Unit Conversion'!$B$5:$J$13,3,FALSE)*VLOOKUP('Scope 1'!AB67,'[1]5-1. Fuel Density'!$B$6:$D$18,3,FALSE)*1000,IF($AQ67="kg",VLOOKUP('Scope 1'!AQ67,'[1]5-3. Unit Conversion'!$B$16:$G$21,3,FALSE),0)))</f>
        <v>1463.2971428571432</v>
      </c>
      <c r="AS67" s="35">
        <f>IFERROR(IF($AB67="","",IF(VLOOKUP($AB67,'[1]5-1. Fuel Density'!$B$6:$G$19,6,0)="Use of other GHGs",0,IF($AB67="Industrial Wastes",$AR67*'[1]5-4. Calorific&amp;Emission factor'!$R$75,$AR67*VLOOKUP($AB67,'[1]5-4. Calorific&amp;Emission factor'!$P$9:$R$74,3,FALSE)))),0)</f>
        <v>69213.954857142875</v>
      </c>
      <c r="AT67" s="32">
        <f>IF($AB67="","",IF(OR($AB67="Hydrofluorocarbons(HFCs)",$AB67="ETC"),$AR67*VLOOKUP($J67,'[1]5-4. Calorific&amp;Emission factor'!$B$10:$D$14,3,0)/1000,IF(VLOOKUP($AB67,'[1]5-1. Fuel Density'!$B$6:$G$19,6,0)="Use of other GHGs",$AU67/1000,(($AU67*'[1]5-4. Calorific&amp;Emission factor'!$D$7)+($AV67*'[1]5-4. Calorific&amp;Emission factor'!$D$8)+($AW67*'[1]5-4. Calorific&amp;Emission factor'!$D$9))/1000)))</f>
        <v>4.3711588692344581</v>
      </c>
      <c r="AU67" s="33">
        <f>IF($AB67="","",IF(VLOOKUP($AB67,'[1]5-1. Fuel Density'!$B$6:$G$19,6,0)="Use of other GHGs",$AR67*VLOOKUP($AB67,'[1]5-4. Calorific&amp;Emission factor'!$O$9:$Y$74,5,FALSE)/1000000,$AS67*VLOOKUP($AB67,'[1]5-4. Calorific&amp;Emission factor'!$P$9:$Y$74,4,FALSE)/1000000))</f>
        <v>4367.4005514857163</v>
      </c>
      <c r="AV67" s="33">
        <f>IF($AB67="","",IF(VLOOKUP($AB67,'[1]5-1. Fuel Density'!$B$6:$G$19,6,0)="Use of other GHGs",0,$AS67*VLOOKUP($AB67,'[1]5-4. Calorific&amp;Emission factor'!$P$9:$Y$74,6,FALSE)/1000000))</f>
        <v>6.9213954857142879E-2</v>
      </c>
      <c r="AW67" s="33">
        <f>IF($AB67="","",IF(VLOOKUP($AB67,'[1]5-1. Fuel Density'!$B$6:$G$19,6,0)="Use of other GHGs",0,$AS67*VLOOKUP($AB67,'[1]5-4. Calorific&amp;Emission factor'!$P$9:$Y$74,9,FALSE)/1000000))</f>
        <v>6.9213954857142877E-3</v>
      </c>
    </row>
    <row r="68" spans="2:49">
      <c r="B68" s="23">
        <v>63</v>
      </c>
      <c r="C68" s="23" t="s">
        <v>69</v>
      </c>
      <c r="D68" s="23" t="s">
        <v>88</v>
      </c>
      <c r="E68" s="24" t="s">
        <v>73</v>
      </c>
      <c r="F68" s="24" t="s">
        <v>42</v>
      </c>
      <c r="G68" s="24" t="s">
        <v>72</v>
      </c>
      <c r="H68" s="24"/>
      <c r="I68" s="24" t="s">
        <v>74</v>
      </c>
      <c r="J68" s="38" t="s">
        <v>90</v>
      </c>
      <c r="K68" s="36">
        <v>14.625000000000002</v>
      </c>
      <c r="L68" s="27">
        <v>1.2749999999999999</v>
      </c>
      <c r="M68" s="27">
        <v>0.5</v>
      </c>
      <c r="N68" s="27">
        <v>2.9</v>
      </c>
      <c r="O68" s="27">
        <v>2.625</v>
      </c>
      <c r="P68" s="27">
        <v>0.5</v>
      </c>
      <c r="Q68" s="27">
        <v>0.5</v>
      </c>
      <c r="R68" s="27">
        <v>0.625</v>
      </c>
      <c r="S68" s="27">
        <v>0.5</v>
      </c>
      <c r="T68" s="27">
        <v>0.92500000000000004</v>
      </c>
      <c r="U68" s="27">
        <v>2.4</v>
      </c>
      <c r="V68" s="27">
        <v>1.25</v>
      </c>
      <c r="W68" s="27">
        <v>0.625</v>
      </c>
      <c r="X68" s="28" t="s">
        <v>46</v>
      </c>
      <c r="Y68" s="23">
        <v>2024</v>
      </c>
      <c r="Z68" s="23" t="str">
        <f>VLOOKUP($E68,'[1]5-2. Emission Facility'!$B$7:$D$16,2,0)</f>
        <v>Generator</v>
      </c>
      <c r="AA68" s="23" t="str">
        <f>VLOOKUP($Z68,'[1]5-2. Emission Facility'!$C$7:$D$16,2,0)</f>
        <v>Stationary Combustion</v>
      </c>
      <c r="AB68" s="23" t="str">
        <f>IF($C68="","",IF(VLOOKUP($C68,'[1]1. General Facility Information'!$C$7:$E$13,3,0)="Korea",'Scope 1'!$I68,INDEX('[1]5-1. Fuel Density'!$B$6:$B$18,MATCH('Scope 1'!$I68,'[1]5-1. Fuel Density'!$C$6:$C$18,0))))</f>
        <v>Gas / Diesel oil</v>
      </c>
      <c r="AC68" s="23">
        <f t="shared" si="1"/>
        <v>1.2749999999999999</v>
      </c>
      <c r="AD68" s="23">
        <f t="shared" si="7"/>
        <v>0.5</v>
      </c>
      <c r="AE68" s="23">
        <f t="shared" si="7"/>
        <v>2.9</v>
      </c>
      <c r="AF68" s="23">
        <f t="shared" si="6"/>
        <v>2.625</v>
      </c>
      <c r="AG68" s="23">
        <f t="shared" si="6"/>
        <v>0.5</v>
      </c>
      <c r="AH68" s="23">
        <f t="shared" si="6"/>
        <v>0.5</v>
      </c>
      <c r="AI68" s="23">
        <f t="shared" si="6"/>
        <v>0.625</v>
      </c>
      <c r="AJ68" s="23">
        <f t="shared" si="6"/>
        <v>0.5</v>
      </c>
      <c r="AK68" s="23">
        <f t="shared" si="6"/>
        <v>0.92500000000000004</v>
      </c>
      <c r="AL68" s="23">
        <f t="shared" si="6"/>
        <v>2.4</v>
      </c>
      <c r="AM68" s="23">
        <f t="shared" si="6"/>
        <v>1.25</v>
      </c>
      <c r="AN68" s="23">
        <f t="shared" si="6"/>
        <v>0.625</v>
      </c>
      <c r="AO68" s="23" t="str">
        <f t="shared" si="2"/>
        <v/>
      </c>
      <c r="AP68" s="34">
        <f t="shared" si="3"/>
        <v>14.625000000000002</v>
      </c>
      <c r="AQ68" s="23" t="str">
        <f t="shared" si="4"/>
        <v>㎥</v>
      </c>
      <c r="AR68" s="35">
        <f>IF($C68="","",$AP68*IF($AQ68="㎥",VLOOKUP('Scope 1'!AQ68,'[1]5-3. Unit Conversion'!$B$5:$J$13,3,FALSE)*VLOOKUP('Scope 1'!AB68,'[1]5-1. Fuel Density'!$B$6:$D$18,3,FALSE)*1000,IF($AQ68="kg",VLOOKUP('Scope 1'!AQ68,'[1]5-3. Unit Conversion'!$B$16:$G$21,3,FALSE),0)))</f>
        <v>12343.500000000002</v>
      </c>
      <c r="AS68" s="35">
        <f>IFERROR(IF($AB68="","",IF(VLOOKUP($AB68,'[1]5-1. Fuel Density'!$B$6:$G$19,6,0)="Use of other GHGs",0,IF($AB68="Industrial Wastes",$AR68*'[1]5-4. Calorific&amp;Emission factor'!$R$75,$AR68*VLOOKUP($AB68,'[1]5-4. Calorific&amp;Emission factor'!$P$9:$R$74,3,FALSE)))),0)</f>
        <v>530770.50000000012</v>
      </c>
      <c r="AT68" s="32">
        <f>IF($AB68="","",IF(OR($AB68="Hydrofluorocarbons(HFCs)",$AB68="ETC"),$AR68*VLOOKUP($J68,'[1]5-4. Calorific&amp;Emission factor'!$B$10:$D$14,3,0)/1000,IF(VLOOKUP($AB68,'[1]5-1. Fuel Density'!$B$6:$G$19,6,0)="Use of other GHGs",$AU68/1000,(($AU68*'[1]5-4. Calorific&amp;Emission factor'!$D$7)+($AV68*'[1]5-4. Calorific&amp;Emission factor'!$D$8)+($AW68*'[1]5-4. Calorific&amp;Emission factor'!$D$9))/1000)))</f>
        <v>39.460026668400012</v>
      </c>
      <c r="AU68" s="33">
        <f>IF($AB68="","",IF(VLOOKUP($AB68,'[1]5-1. Fuel Density'!$B$6:$G$19,6,0)="Use of other GHGs",$AR68*VLOOKUP($AB68,'[1]5-4. Calorific&amp;Emission factor'!$O$9:$Y$74,5,FALSE)/1000000,$AS68*VLOOKUP($AB68,'[1]5-4. Calorific&amp;Emission factor'!$P$9:$Y$74,4,FALSE)/1000000))</f>
        <v>39330.094050000007</v>
      </c>
      <c r="AV68" s="33">
        <f>IF($AB68="","",IF(VLOOKUP($AB68,'[1]5-1. Fuel Density'!$B$6:$G$19,6,0)="Use of other GHGs",0,$AS68*VLOOKUP($AB68,'[1]5-4. Calorific&amp;Emission factor'!$P$9:$Y$74,6,FALSE)/1000000))</f>
        <v>1.5923115000000005</v>
      </c>
      <c r="AW68" s="33">
        <f>IF($AB68="","",IF(VLOOKUP($AB68,'[1]5-1. Fuel Density'!$B$6:$G$19,6,0)="Use of other GHGs",0,$AS68*VLOOKUP($AB68,'[1]5-4. Calorific&amp;Emission factor'!$P$9:$Y$74,9,FALSE)/1000000))</f>
        <v>0.31846230000000003</v>
      </c>
    </row>
    <row r="69" spans="2:49">
      <c r="B69" s="23">
        <v>64</v>
      </c>
      <c r="C69" s="23" t="s">
        <v>69</v>
      </c>
      <c r="D69" s="23" t="s">
        <v>88</v>
      </c>
      <c r="E69" s="24" t="s">
        <v>54</v>
      </c>
      <c r="F69" s="24" t="s">
        <v>42</v>
      </c>
      <c r="G69" s="24" t="s">
        <v>72</v>
      </c>
      <c r="H69" s="24"/>
      <c r="I69" s="24" t="s">
        <v>57</v>
      </c>
      <c r="J69" s="38" t="s">
        <v>76</v>
      </c>
      <c r="K69" s="36">
        <v>658492.7931270001</v>
      </c>
      <c r="L69" s="27">
        <v>66719.940650250035</v>
      </c>
      <c r="M69" s="27">
        <v>56395.915229999991</v>
      </c>
      <c r="N69" s="27">
        <v>53472.481766250006</v>
      </c>
      <c r="O69" s="27">
        <v>39453.388545750007</v>
      </c>
      <c r="P69" s="27">
        <v>64766.816941500016</v>
      </c>
      <c r="Q69" s="27">
        <v>76693.905581999992</v>
      </c>
      <c r="R69" s="27">
        <v>101635.83500250004</v>
      </c>
      <c r="S69" s="27">
        <v>69754.509408749989</v>
      </c>
      <c r="T69" s="27">
        <v>27000</v>
      </c>
      <c r="U69" s="27">
        <v>32400</v>
      </c>
      <c r="V69" s="27">
        <v>28350</v>
      </c>
      <c r="W69" s="27">
        <v>41850</v>
      </c>
      <c r="X69" s="28" t="s">
        <v>59</v>
      </c>
      <c r="Y69" s="23">
        <v>2024</v>
      </c>
      <c r="Z69" s="23" t="str">
        <f>VLOOKUP($E69,'[1]5-2. Emission Facility'!$B$7:$D$16,2,0)</f>
        <v>Boiler</v>
      </c>
      <c r="AA69" s="23" t="str">
        <f>VLOOKUP($Z69,'[1]5-2. Emission Facility'!$C$7:$D$16,2,0)</f>
        <v>Stationary Combustion</v>
      </c>
      <c r="AB69" s="23" t="str">
        <f>IF($C69="","",IF(VLOOKUP($C69,'[1]1. General Facility Information'!$C$7:$E$13,3,0)="Korea",'Scope 1'!$I69,INDEX('[1]5-1. Fuel Density'!$B$6:$B$18,MATCH('Scope 1'!$I69,'[1]5-1. Fuel Density'!$C$6:$C$18,0))))</f>
        <v>Industrial Wastes</v>
      </c>
      <c r="AC69" s="23">
        <f t="shared" si="1"/>
        <v>66719.940650250035</v>
      </c>
      <c r="AD69" s="23">
        <f t="shared" si="7"/>
        <v>56395.915229999991</v>
      </c>
      <c r="AE69" s="23">
        <f t="shared" si="7"/>
        <v>53472.481766250006</v>
      </c>
      <c r="AF69" s="23">
        <f t="shared" si="6"/>
        <v>39453.388545750007</v>
      </c>
      <c r="AG69" s="23">
        <f t="shared" si="6"/>
        <v>64766.816941500016</v>
      </c>
      <c r="AH69" s="23">
        <f t="shared" si="6"/>
        <v>76693.905581999992</v>
      </c>
      <c r="AI69" s="23">
        <f t="shared" si="6"/>
        <v>101635.83500250004</v>
      </c>
      <c r="AJ69" s="23">
        <f t="shared" si="6"/>
        <v>69754.509408749989</v>
      </c>
      <c r="AK69" s="23">
        <f t="shared" si="6"/>
        <v>27000</v>
      </c>
      <c r="AL69" s="23">
        <f t="shared" si="6"/>
        <v>32400</v>
      </c>
      <c r="AM69" s="23">
        <f t="shared" si="6"/>
        <v>28350</v>
      </c>
      <c r="AN69" s="23">
        <f t="shared" si="6"/>
        <v>41850</v>
      </c>
      <c r="AO69" s="23" t="str">
        <f t="shared" si="2"/>
        <v/>
      </c>
      <c r="AP69" s="34">
        <f t="shared" si="3"/>
        <v>658492.7931270001</v>
      </c>
      <c r="AQ69" s="23" t="str">
        <f t="shared" si="4"/>
        <v>kg</v>
      </c>
      <c r="AR69" s="35">
        <f>IF($C69="","",$AP69*IF($AQ69="㎥",VLOOKUP('Scope 1'!AQ69,'[1]5-3. Unit Conversion'!$B$5:$J$13,3,FALSE)*VLOOKUP('Scope 1'!AB69,'[1]5-1. Fuel Density'!$B$6:$D$18,3,FALSE)*1000,IF($AQ69="kg",VLOOKUP('Scope 1'!AQ69,'[1]5-3. Unit Conversion'!$B$16:$G$21,3,FALSE),0)))</f>
        <v>658492.7931270001</v>
      </c>
      <c r="AS69" s="35">
        <f>IFERROR(IF($AB69="","",IF(VLOOKUP($AB69,'[1]5-1. Fuel Density'!$B$6:$G$19,6,0)="Use of other GHGs",0,IF($AB69="Industrial Wastes",$AR69*'[1]5-4. Calorific&amp;Emission factor'!$R$75,$AR69*VLOOKUP($AB69,'[1]5-4. Calorific&amp;Emission factor'!$P$9:$R$74,3,FALSE)))),0)</f>
        <v>14326706.168824878</v>
      </c>
      <c r="AT69" s="32">
        <f>IF($AB69="","",IF(OR($AB69="Hydrofluorocarbons(HFCs)",$AB69="ETC"),$AR69*VLOOKUP($J69,'[1]5-4. Calorific&amp;Emission factor'!$B$10:$D$14,3,0)/1000,IF(VLOOKUP($AB69,'[1]5-1. Fuel Density'!$B$6:$G$19,6,0)="Use of other GHGs",$AU69/1000,(($AU69*'[1]5-4. Calorific&amp;Emission factor'!$D$7)+($AV69*'[1]5-4. Calorific&amp;Emission factor'!$D$8)+($AW69*'[1]5-4. Calorific&amp;Emission factor'!$D$9))/1000)))</f>
        <v>2075.9683772750623</v>
      </c>
      <c r="AU69" s="33">
        <f>IF($AB69="","",IF(VLOOKUP($AB69,'[1]5-1. Fuel Density'!$B$6:$G$19,6,0)="Use of other GHGs",$AR69*VLOOKUP($AB69,'[1]5-4. Calorific&amp;Emission factor'!$O$9:$Y$74,5,FALSE)/1000000,$AS69*VLOOKUP($AB69,'[1]5-4. Calorific&amp;Emission factor'!$P$9:$Y$74,4,FALSE)/1000000))</f>
        <v>2048718.9821419576</v>
      </c>
      <c r="AV69" s="33">
        <f>IF($AB69="","",IF(VLOOKUP($AB69,'[1]5-1. Fuel Density'!$B$6:$G$19,6,0)="Use of other GHGs",0,$AS69*VLOOKUP($AB69,'[1]5-4. Calorific&amp;Emission factor'!$P$9:$Y$74,6,FALSE)/1000000))</f>
        <v>429.80118506474633</v>
      </c>
      <c r="AW69" s="33">
        <f>IF($AB69="","",IF(VLOOKUP($AB69,'[1]5-1. Fuel Density'!$B$6:$G$19,6,0)="Use of other GHGs",0,$AS69*VLOOKUP($AB69,'[1]5-4. Calorific&amp;Emission factor'!$P$9:$Y$74,9,FALSE)/1000000))</f>
        <v>57.306824675299509</v>
      </c>
    </row>
    <row r="70" spans="2:49">
      <c r="B70" s="23">
        <v>65</v>
      </c>
      <c r="C70" s="23" t="s">
        <v>69</v>
      </c>
      <c r="D70" s="23" t="s">
        <v>88</v>
      </c>
      <c r="E70" s="24" t="s">
        <v>77</v>
      </c>
      <c r="F70" s="24" t="s">
        <v>78</v>
      </c>
      <c r="G70" s="24" t="s">
        <v>79</v>
      </c>
      <c r="H70" s="24"/>
      <c r="I70" s="24" t="s">
        <v>80</v>
      </c>
      <c r="J70" s="38" t="s">
        <v>81</v>
      </c>
      <c r="K70" s="36">
        <v>34.200000000000003</v>
      </c>
      <c r="L70" s="27"/>
      <c r="M70" s="27"/>
      <c r="N70" s="27">
        <v>11.3</v>
      </c>
      <c r="O70" s="27"/>
      <c r="P70" s="27"/>
      <c r="Q70" s="27"/>
      <c r="R70" s="27"/>
      <c r="S70" s="27"/>
      <c r="T70" s="27"/>
      <c r="U70" s="27">
        <v>11.3</v>
      </c>
      <c r="V70" s="27">
        <v>11.6</v>
      </c>
      <c r="W70" s="27"/>
      <c r="X70" s="28" t="s">
        <v>59</v>
      </c>
      <c r="Y70" s="23">
        <v>2024</v>
      </c>
      <c r="Z70" s="23" t="str">
        <f>VLOOKUP($E70,'[1]5-2. Emission Facility'!$B$7:$D$16,2,0)</f>
        <v>AC</v>
      </c>
      <c r="AA70" s="23" t="str">
        <f>VLOOKUP($Z70,'[1]5-2. Emission Facility'!$C$7:$D$16,2,0)</f>
        <v>Process Emissions</v>
      </c>
      <c r="AB70" s="23" t="str">
        <f>IF($C70="","",IF(VLOOKUP($C70,'[1]1. General Facility Information'!$C$7:$E$13,3,0)="Korea",'Scope 1'!$I70,INDEX('[1]5-1. Fuel Density'!$B$6:$B$18,MATCH('Scope 1'!$I70,'[1]5-1. Fuel Density'!$C$6:$C$18,0))))</f>
        <v>Hydrofluorocarbons(HFCs)</v>
      </c>
      <c r="AC70" s="23">
        <f t="shared" si="1"/>
        <v>0</v>
      </c>
      <c r="AD70" s="23">
        <f t="shared" si="7"/>
        <v>0</v>
      </c>
      <c r="AE70" s="23">
        <f t="shared" si="7"/>
        <v>11.3</v>
      </c>
      <c r="AF70" s="23">
        <f t="shared" si="6"/>
        <v>0</v>
      </c>
      <c r="AG70" s="23">
        <f t="shared" si="6"/>
        <v>0</v>
      </c>
      <c r="AH70" s="23">
        <f t="shared" si="6"/>
        <v>0</v>
      </c>
      <c r="AI70" s="23">
        <f t="shared" si="6"/>
        <v>0</v>
      </c>
      <c r="AJ70" s="23">
        <f t="shared" si="6"/>
        <v>0</v>
      </c>
      <c r="AK70" s="23">
        <f t="shared" si="6"/>
        <v>0</v>
      </c>
      <c r="AL70" s="23">
        <f t="shared" si="6"/>
        <v>11.3</v>
      </c>
      <c r="AM70" s="23">
        <f t="shared" si="6"/>
        <v>11.6</v>
      </c>
      <c r="AN70" s="23">
        <f t="shared" si="6"/>
        <v>0</v>
      </c>
      <c r="AO70" s="23" t="str">
        <f t="shared" si="2"/>
        <v/>
      </c>
      <c r="AP70" s="34">
        <f t="shared" si="3"/>
        <v>34.200000000000003</v>
      </c>
      <c r="AQ70" s="23" t="str">
        <f t="shared" si="4"/>
        <v>kg</v>
      </c>
      <c r="AR70" s="35">
        <f>IF($C70="","",$AP70*IF($AQ70="㎥",VLOOKUP('Scope 1'!AQ70,'[1]5-3. Unit Conversion'!$B$5:$J$13,3,FALSE)*VLOOKUP('Scope 1'!AB70,'[1]5-1. Fuel Density'!$B$6:$D$18,3,FALSE)*1000,IF($AQ70="kg",VLOOKUP('Scope 1'!AQ70,'[1]5-3. Unit Conversion'!$B$16:$G$21,3,FALSE),0)))</f>
        <v>34.200000000000003</v>
      </c>
      <c r="AS70" s="35">
        <f>IFERROR(IF($AB70="","",IF(VLOOKUP($AB70,'[1]5-1. Fuel Density'!$B$6:$G$19,6,0)="Use of other GHGs",0,IF($AB70="Industrial Wastes",$AR70*'[1]5-4. Calorific&amp;Emission factor'!$R$75,$AR70*VLOOKUP($AB70,'[1]5-4. Calorific&amp;Emission factor'!$P$9:$R$74,3,FALSE)))),0)</f>
        <v>0</v>
      </c>
      <c r="AT70" s="32">
        <f>IF($AB70="","",IF(OR($AB70="Hydrofluorocarbons(HFCs)",$AB70="ETC"),$AR70*VLOOKUP($J70,'[1]5-4. Calorific&amp;Emission factor'!$B$10:$D$14,3,0)/1000,IF(VLOOKUP($AB70,'[1]5-1. Fuel Density'!$B$6:$G$19,6,0)="Use of other GHGs",$AU70/1000,(($AU70*'[1]5-4. Calorific&amp;Emission factor'!$D$7)+($AV70*'[1]5-4. Calorific&amp;Emission factor'!$D$8)+($AW70*'[1]5-4. Calorific&amp;Emission factor'!$D$9))/1000)))</f>
        <v>77.138100000000009</v>
      </c>
      <c r="AU70" s="33">
        <f>IF($AB70="","",IF(VLOOKUP($AB70,'[1]5-1. Fuel Density'!$B$6:$G$19,6,0)="Use of other GHGs",$AR70*VLOOKUP($AB70,'[1]5-4. Calorific&amp;Emission factor'!$O$9:$Y$74,5,FALSE)/1000000,$AS70*VLOOKUP($AB70,'[1]5-4. Calorific&amp;Emission factor'!$P$9:$Y$74,4,FALSE)/1000000))</f>
        <v>0</v>
      </c>
      <c r="AV70" s="33">
        <f>IF($AB70="","",IF(VLOOKUP($AB70,'[1]5-1. Fuel Density'!$B$6:$G$19,6,0)="Use of other GHGs",0,$AS70*VLOOKUP($AB70,'[1]5-4. Calorific&amp;Emission factor'!$P$9:$Y$74,6,FALSE)/1000000))</f>
        <v>0</v>
      </c>
      <c r="AW70" s="33">
        <f>IF($AB70="","",IF(VLOOKUP($AB70,'[1]5-1. Fuel Density'!$B$6:$G$19,6,0)="Use of other GHGs",0,$AS70*VLOOKUP($AB70,'[1]5-4. Calorific&amp;Emission factor'!$P$9:$Y$74,9,FALSE)/1000000))</f>
        <v>0</v>
      </c>
    </row>
    <row r="71" spans="2:49">
      <c r="B71" s="23">
        <v>66</v>
      </c>
      <c r="C71" s="23" t="s">
        <v>69</v>
      </c>
      <c r="D71" s="23" t="s">
        <v>88</v>
      </c>
      <c r="E71" s="24" t="s">
        <v>77</v>
      </c>
      <c r="F71" s="24" t="s">
        <v>78</v>
      </c>
      <c r="G71" s="24" t="s">
        <v>79</v>
      </c>
      <c r="H71" s="24"/>
      <c r="I71" s="24" t="s">
        <v>82</v>
      </c>
      <c r="J71" s="38" t="s">
        <v>83</v>
      </c>
      <c r="K71" s="36">
        <v>54.4</v>
      </c>
      <c r="L71" s="27"/>
      <c r="M71" s="27"/>
      <c r="N71" s="27">
        <v>13.6</v>
      </c>
      <c r="O71" s="27"/>
      <c r="P71" s="27"/>
      <c r="Q71" s="27"/>
      <c r="R71" s="27"/>
      <c r="S71" s="27">
        <v>13.6</v>
      </c>
      <c r="T71" s="27"/>
      <c r="U71" s="27"/>
      <c r="V71" s="27">
        <v>27.2</v>
      </c>
      <c r="W71" s="27"/>
      <c r="X71" s="28" t="s">
        <v>59</v>
      </c>
      <c r="Y71" s="23">
        <v>2024</v>
      </c>
      <c r="Z71" s="23" t="str">
        <f>VLOOKUP($E71,'[1]5-2. Emission Facility'!$B$7:$D$16,2,0)</f>
        <v>AC</v>
      </c>
      <c r="AA71" s="23" t="str">
        <f>VLOOKUP($Z71,'[1]5-2. Emission Facility'!$C$7:$D$16,2,0)</f>
        <v>Process Emissions</v>
      </c>
      <c r="AB71" s="23" t="str">
        <f>IF($C71="","",IF(VLOOKUP($C71,'[1]1. General Facility Information'!$C$7:$E$13,3,0)="Korea",'Scope 1'!$I71,INDEX('[1]5-1. Fuel Density'!$B$6:$B$18,MATCH('Scope 1'!$I71,'[1]5-1. Fuel Density'!$C$6:$C$18,0))))</f>
        <v>Hydrofluorocarbons(HFCs)</v>
      </c>
      <c r="AC71" s="23">
        <f t="shared" si="1"/>
        <v>0</v>
      </c>
      <c r="AD71" s="23">
        <f t="shared" si="7"/>
        <v>0</v>
      </c>
      <c r="AE71" s="23">
        <f t="shared" si="7"/>
        <v>13.6</v>
      </c>
      <c r="AF71" s="23">
        <f t="shared" si="6"/>
        <v>0</v>
      </c>
      <c r="AG71" s="23">
        <f t="shared" si="6"/>
        <v>0</v>
      </c>
      <c r="AH71" s="23">
        <f t="shared" si="6"/>
        <v>0</v>
      </c>
      <c r="AI71" s="23">
        <f t="shared" si="6"/>
        <v>0</v>
      </c>
      <c r="AJ71" s="23">
        <f t="shared" si="6"/>
        <v>13.6</v>
      </c>
      <c r="AK71" s="23">
        <f t="shared" si="6"/>
        <v>0</v>
      </c>
      <c r="AL71" s="23">
        <f t="shared" si="6"/>
        <v>0</v>
      </c>
      <c r="AM71" s="23">
        <f t="shared" si="6"/>
        <v>27.2</v>
      </c>
      <c r="AN71" s="23">
        <f t="shared" si="6"/>
        <v>0</v>
      </c>
      <c r="AO71" s="23" t="str">
        <f t="shared" si="2"/>
        <v/>
      </c>
      <c r="AP71" s="34">
        <f t="shared" si="3"/>
        <v>54.4</v>
      </c>
      <c r="AQ71" s="23" t="str">
        <f t="shared" si="4"/>
        <v>kg</v>
      </c>
      <c r="AR71" s="35">
        <f>IF($C71="","",$AP71*IF($AQ71="㎥",VLOOKUP('Scope 1'!AQ71,'[1]5-3. Unit Conversion'!$B$5:$J$13,3,FALSE)*VLOOKUP('Scope 1'!AB71,'[1]5-1. Fuel Density'!$B$6:$D$18,3,FALSE)*1000,IF($AQ71="kg",VLOOKUP('Scope 1'!AQ71,'[1]5-3. Unit Conversion'!$B$16:$G$21,3,FALSE),0)))</f>
        <v>54.4</v>
      </c>
      <c r="AS71" s="35">
        <f>IFERROR(IF($AB71="","",IF(VLOOKUP($AB71,'[1]5-1. Fuel Density'!$B$6:$G$19,6,0)="Use of other GHGs",0,IF($AB71="Industrial Wastes",$AR71*'[1]5-4. Calorific&amp;Emission factor'!$R$75,$AR71*VLOOKUP($AB71,'[1]5-4. Calorific&amp;Emission factor'!$P$9:$R$74,3,FALSE)))),0)</f>
        <v>0</v>
      </c>
      <c r="AT71" s="32">
        <f>IF($AB71="","",IF(OR($AB71="Hydrofluorocarbons(HFCs)",$AB71="ETC"),$AR71*VLOOKUP($J71,'[1]5-4. Calorific&amp;Emission factor'!$B$10:$D$14,3,0)/1000,IF(VLOOKUP($AB71,'[1]5-1. Fuel Density'!$B$6:$G$19,6,0)="Use of other GHGs",$AU71/1000,(($AU71*'[1]5-4. Calorific&amp;Emission factor'!$D$7)+($AV71*'[1]5-4. Calorific&amp;Emission factor'!$D$8)+($AW71*'[1]5-4. Calorific&amp;Emission factor'!$D$9))/1000)))</f>
        <v>106.624</v>
      </c>
      <c r="AU71" s="33">
        <f>IF($AB71="","",IF(VLOOKUP($AB71,'[1]5-1. Fuel Density'!$B$6:$G$19,6,0)="Use of other GHGs",$AR71*VLOOKUP($AB71,'[1]5-4. Calorific&amp;Emission factor'!$O$9:$Y$74,5,FALSE)/1000000,$AS71*VLOOKUP($AB71,'[1]5-4. Calorific&amp;Emission factor'!$P$9:$Y$74,4,FALSE)/1000000))</f>
        <v>0</v>
      </c>
      <c r="AV71" s="33">
        <f>IF($AB71="","",IF(VLOOKUP($AB71,'[1]5-1. Fuel Density'!$B$6:$G$19,6,0)="Use of other GHGs",0,$AS71*VLOOKUP($AB71,'[1]5-4. Calorific&amp;Emission factor'!$P$9:$Y$74,6,FALSE)/1000000))</f>
        <v>0</v>
      </c>
      <c r="AW71" s="33">
        <f>IF($AB71="","",IF(VLOOKUP($AB71,'[1]5-1. Fuel Density'!$B$6:$G$19,6,0)="Use of other GHGs",0,$AS71*VLOOKUP($AB71,'[1]5-4. Calorific&amp;Emission factor'!$P$9:$Y$74,9,FALSE)/1000000))</f>
        <v>0</v>
      </c>
    </row>
    <row r="72" spans="2:49">
      <c r="B72" s="23">
        <v>67</v>
      </c>
      <c r="C72" s="23" t="s">
        <v>69</v>
      </c>
      <c r="D72" s="23" t="s">
        <v>88</v>
      </c>
      <c r="E72" s="24" t="s">
        <v>77</v>
      </c>
      <c r="F72" s="24" t="s">
        <v>78</v>
      </c>
      <c r="G72" s="24" t="s">
        <v>79</v>
      </c>
      <c r="H72" s="24" t="s">
        <v>106</v>
      </c>
      <c r="I72" s="24" t="s">
        <v>82</v>
      </c>
      <c r="J72" s="38" t="s">
        <v>107</v>
      </c>
      <c r="K72" s="36">
        <v>10</v>
      </c>
      <c r="L72" s="27"/>
      <c r="M72" s="27"/>
      <c r="N72" s="27"/>
      <c r="O72" s="27"/>
      <c r="P72" s="27"/>
      <c r="Q72" s="27"/>
      <c r="R72" s="27"/>
      <c r="S72" s="27"/>
      <c r="T72" s="27"/>
      <c r="U72" s="27">
        <v>10</v>
      </c>
      <c r="V72" s="27"/>
      <c r="W72" s="27"/>
      <c r="X72" s="28" t="s">
        <v>59</v>
      </c>
      <c r="Y72" s="23">
        <v>2024</v>
      </c>
      <c r="Z72" s="23" t="str">
        <f>VLOOKUP($E72,'[1]5-2. Emission Facility'!$B$7:$D$16,2,0)</f>
        <v>AC</v>
      </c>
      <c r="AA72" s="23" t="str">
        <f>VLOOKUP($Z72,'[1]5-2. Emission Facility'!$C$7:$D$16,2,0)</f>
        <v>Process Emissions</v>
      </c>
      <c r="AB72" s="23" t="str">
        <f>IF($C72="","",IF(VLOOKUP($C72,'[1]1. General Facility Information'!$C$7:$E$13,3,0)="Korea",'Scope 1'!$I72,INDEX('[1]5-1. Fuel Density'!$B$6:$B$18,MATCH('Scope 1'!$I72,'[1]5-1. Fuel Density'!$C$6:$C$18,0))))</f>
        <v>Hydrofluorocarbons(HFCs)</v>
      </c>
      <c r="AC72" s="23">
        <f t="shared" si="1"/>
        <v>0</v>
      </c>
      <c r="AD72" s="23">
        <f t="shared" si="7"/>
        <v>0</v>
      </c>
      <c r="AE72" s="23">
        <f t="shared" si="7"/>
        <v>0</v>
      </c>
      <c r="AF72" s="23">
        <f t="shared" si="6"/>
        <v>0</v>
      </c>
      <c r="AG72" s="23">
        <f t="shared" si="6"/>
        <v>0</v>
      </c>
      <c r="AH72" s="23">
        <f t="shared" si="6"/>
        <v>0</v>
      </c>
      <c r="AI72" s="23">
        <f t="shared" si="6"/>
        <v>0</v>
      </c>
      <c r="AJ72" s="23">
        <f t="shared" si="6"/>
        <v>0</v>
      </c>
      <c r="AK72" s="23">
        <f t="shared" si="6"/>
        <v>0</v>
      </c>
      <c r="AL72" s="23">
        <f t="shared" si="6"/>
        <v>10</v>
      </c>
      <c r="AM72" s="23">
        <f t="shared" si="6"/>
        <v>0</v>
      </c>
      <c r="AN72" s="23">
        <f t="shared" si="6"/>
        <v>0</v>
      </c>
      <c r="AO72" s="23" t="str">
        <f t="shared" si="2"/>
        <v/>
      </c>
      <c r="AP72" s="34">
        <f t="shared" si="3"/>
        <v>10</v>
      </c>
      <c r="AQ72" s="23" t="str">
        <f t="shared" si="4"/>
        <v>kg</v>
      </c>
      <c r="AR72" s="35">
        <f>IF($C72="","",$AP72*IF($AQ72="㎥",VLOOKUP('Scope 1'!AQ72,'[1]5-3. Unit Conversion'!$B$5:$J$13,3,FALSE)*VLOOKUP('Scope 1'!AB72,'[1]5-1. Fuel Density'!$B$6:$D$18,3,FALSE)*1000,IF($AQ72="kg",VLOOKUP('Scope 1'!AQ72,'[1]5-3. Unit Conversion'!$B$16:$G$21,3,FALSE),0)))</f>
        <v>10</v>
      </c>
      <c r="AS72" s="35">
        <f>IFERROR(IF($AB72="","",IF(VLOOKUP($AB72,'[1]5-1. Fuel Density'!$B$6:$G$19,6,0)="Use of other GHGs",0,IF($AB72="Industrial Wastes",$AR72*'[1]5-4. Calorific&amp;Emission factor'!$R$75,$AR72*VLOOKUP($AB72,'[1]5-4. Calorific&amp;Emission factor'!$P$9:$R$74,3,FALSE)))),0)</f>
        <v>0</v>
      </c>
      <c r="AT72" s="32">
        <f>IF($AB72="","",IF(OR($AB72="Hydrofluorocarbons(HFCs)",$AB72="ETC"),$AR72*VLOOKUP($J72,'[1]5-4. Calorific&amp;Emission factor'!$B$10:$D$14,3,0)/1000,IF(VLOOKUP($AB72,'[1]5-1. Fuel Density'!$B$6:$G$19,6,0)="Use of other GHGs",$AU72/1000,(($AU72*'[1]5-4. Calorific&amp;Emission factor'!$D$7)+($AV72*'[1]5-4. Calorific&amp;Emission factor'!$D$8)+($AW72*'[1]5-4. Calorific&amp;Emission factor'!$D$9))/1000)))</f>
        <v>62.3</v>
      </c>
      <c r="AU72" s="33">
        <f>IF($AB72="","",IF(VLOOKUP($AB72,'[1]5-1. Fuel Density'!$B$6:$G$19,6,0)="Use of other GHGs",$AR72*VLOOKUP($AB72,'[1]5-4. Calorific&amp;Emission factor'!$O$9:$Y$74,5,FALSE)/1000000,$AS72*VLOOKUP($AB72,'[1]5-4. Calorific&amp;Emission factor'!$P$9:$Y$74,4,FALSE)/1000000))</f>
        <v>0</v>
      </c>
      <c r="AV72" s="33">
        <f>IF($AB72="","",IF(VLOOKUP($AB72,'[1]5-1. Fuel Density'!$B$6:$G$19,6,0)="Use of other GHGs",0,$AS72*VLOOKUP($AB72,'[1]5-4. Calorific&amp;Emission factor'!$P$9:$Y$74,6,FALSE)/1000000))</f>
        <v>0</v>
      </c>
      <c r="AW72" s="33">
        <f>IF($AB72="","",IF(VLOOKUP($AB72,'[1]5-1. Fuel Density'!$B$6:$G$19,6,0)="Use of other GHGs",0,$AS72*VLOOKUP($AB72,'[1]5-4. Calorific&amp;Emission factor'!$P$9:$Y$74,9,FALSE)/1000000))</f>
        <v>0</v>
      </c>
    </row>
    <row r="73" spans="2:49">
      <c r="B73" s="23">
        <v>68</v>
      </c>
      <c r="C73" s="23" t="s">
        <v>69</v>
      </c>
      <c r="D73" s="23" t="s">
        <v>88</v>
      </c>
      <c r="E73" s="24" t="s">
        <v>77</v>
      </c>
      <c r="F73" s="24" t="s">
        <v>78</v>
      </c>
      <c r="G73" s="24" t="s">
        <v>79</v>
      </c>
      <c r="H73" s="24"/>
      <c r="I73" s="24" t="s">
        <v>80</v>
      </c>
      <c r="J73" s="38" t="s">
        <v>91</v>
      </c>
      <c r="K73" s="36">
        <v>10</v>
      </c>
      <c r="L73" s="27"/>
      <c r="M73" s="27"/>
      <c r="N73" s="27"/>
      <c r="O73" s="27"/>
      <c r="P73" s="27"/>
      <c r="Q73" s="27"/>
      <c r="R73" s="27"/>
      <c r="S73" s="27"/>
      <c r="T73" s="27"/>
      <c r="U73" s="27">
        <v>10</v>
      </c>
      <c r="V73" s="27"/>
      <c r="W73" s="27"/>
      <c r="X73" s="28" t="s">
        <v>59</v>
      </c>
      <c r="Y73" s="23">
        <v>2024</v>
      </c>
      <c r="Z73" s="23" t="str">
        <f>VLOOKUP($E73,'[1]5-2. Emission Facility'!$B$7:$D$16,2,0)</f>
        <v>AC</v>
      </c>
      <c r="AA73" s="23" t="str">
        <f>VLOOKUP($Z73,'[1]5-2. Emission Facility'!$C$7:$D$16,2,0)</f>
        <v>Process Emissions</v>
      </c>
      <c r="AB73" s="23" t="str">
        <f>IF($C73="","",IF(VLOOKUP($C73,'[1]1. General Facility Information'!$C$7:$E$13,3,0)="Korea",'Scope 1'!$I73,INDEX('[1]5-1. Fuel Density'!$B$6:$B$18,MATCH('Scope 1'!$I73,'[1]5-1. Fuel Density'!$C$6:$C$18,0))))</f>
        <v>Hydrofluorocarbons(HFCs)</v>
      </c>
      <c r="AC73" s="23"/>
      <c r="AD73" s="23"/>
      <c r="AE73" s="23"/>
      <c r="AF73" s="23"/>
      <c r="AG73" s="23"/>
      <c r="AH73" s="23"/>
      <c r="AI73" s="23"/>
      <c r="AJ73" s="23"/>
      <c r="AK73" s="23"/>
      <c r="AL73" s="23"/>
      <c r="AM73" s="23"/>
      <c r="AN73" s="23"/>
      <c r="AO73" s="23"/>
      <c r="AP73" s="34">
        <f t="shared" si="3"/>
        <v>10</v>
      </c>
      <c r="AQ73" s="23" t="str">
        <f t="shared" si="4"/>
        <v>kg</v>
      </c>
      <c r="AR73" s="35">
        <f>IF($C73="","",$AP73*IF($AQ73="㎥",VLOOKUP('Scope 1'!AQ73,'[1]5-3. Unit Conversion'!$B$5:$J$13,3,FALSE)*VLOOKUP('Scope 1'!AB73,'[1]5-1. Fuel Density'!$B$6:$D$18,3,FALSE)*1000,IF($AQ73="kg",VLOOKUP('Scope 1'!AQ73,'[1]5-3. Unit Conversion'!$B$16:$G$21,3,FALSE),0)))</f>
        <v>10</v>
      </c>
      <c r="AS73" s="35">
        <f>IFERROR(IF($AB73="","",IF(VLOOKUP($AB73,'[1]5-1. Fuel Density'!$B$6:$G$19,6,0)="Use of other GHGs",0,IF($AB73="Industrial Wastes",$AR73*'[1]5-4. Calorific&amp;Emission factor'!$R$75,$AR73*VLOOKUP($AB73,'[1]5-4. Calorific&amp;Emission factor'!$P$9:$R$74,3,FALSE)))),0)</f>
        <v>0</v>
      </c>
      <c r="AT73" s="32">
        <f>IF($AB73="","",IF(OR($AB73="Hydrofluorocarbons(HFCs)",$AB73="ETC"),$AR73*VLOOKUP($J73,'[1]5-4. Calorific&amp;Emission factor'!$B$10:$D$14,3,0)/1000,IF(VLOOKUP($AB73,'[1]5-1. Fuel Density'!$B$6:$G$19,6,0)="Use of other GHGs",$AU73/1000,(($AU73*'[1]5-4. Calorific&amp;Emission factor'!$D$7)+($AV73*'[1]5-4. Calorific&amp;Emission factor'!$D$8)+($AW73*'[1]5-4. Calorific&amp;Emission factor'!$D$9))/1000)))</f>
        <v>7.71</v>
      </c>
      <c r="AU73" s="33">
        <f>IF($AB73="","",IF(VLOOKUP($AB73,'[1]5-1. Fuel Density'!$B$6:$G$19,6,0)="Use of other GHGs",$AR73*VLOOKUP($AB73,'[1]5-4. Calorific&amp;Emission factor'!$O$9:$Y$74,5,FALSE)/1000000,$AS73*VLOOKUP($AB73,'[1]5-4. Calorific&amp;Emission factor'!$P$9:$Y$74,4,FALSE)/1000000))</f>
        <v>0</v>
      </c>
      <c r="AV73" s="33">
        <f>IF($AB73="","",IF(VLOOKUP($AB73,'[1]5-1. Fuel Density'!$B$6:$G$19,6,0)="Use of other GHGs",0,$AS73*VLOOKUP($AB73,'[1]5-4. Calorific&amp;Emission factor'!$P$9:$Y$74,6,FALSE)/1000000))</f>
        <v>0</v>
      </c>
      <c r="AW73" s="33">
        <f>IF($AB73="","",IF(VLOOKUP($AB73,'[1]5-1. Fuel Density'!$B$6:$G$19,6,0)="Use of other GHGs",0,$AS73*VLOOKUP($AB73,'[1]5-4. Calorific&amp;Emission factor'!$P$9:$Y$74,9,FALSE)/1000000))</f>
        <v>0</v>
      </c>
    </row>
    <row r="74" spans="2:49">
      <c r="B74" s="23">
        <v>69</v>
      </c>
      <c r="C74" s="23" t="s">
        <v>69</v>
      </c>
      <c r="D74" s="23" t="s">
        <v>88</v>
      </c>
      <c r="E74" s="24" t="s">
        <v>84</v>
      </c>
      <c r="F74" s="24" t="s">
        <v>42</v>
      </c>
      <c r="G74" s="24" t="s">
        <v>43</v>
      </c>
      <c r="H74" s="24"/>
      <c r="I74" s="24" t="s">
        <v>85</v>
      </c>
      <c r="J74" s="38" t="s">
        <v>108</v>
      </c>
      <c r="K74" s="36">
        <v>26.231999999999996</v>
      </c>
      <c r="L74" s="27">
        <v>2.1560000000000001</v>
      </c>
      <c r="M74" s="27">
        <v>2.121</v>
      </c>
      <c r="N74" s="27">
        <v>2.2879999999999998</v>
      </c>
      <c r="O74" s="27">
        <v>1.597</v>
      </c>
      <c r="P74" s="27">
        <v>2.5510000000000002</v>
      </c>
      <c r="Q74" s="27">
        <v>2.786</v>
      </c>
      <c r="R74" s="27">
        <v>2.67</v>
      </c>
      <c r="S74" s="27">
        <v>0.38700000000000001</v>
      </c>
      <c r="T74" s="27">
        <v>2.1749999999999998</v>
      </c>
      <c r="U74" s="27">
        <v>2.7610000000000001</v>
      </c>
      <c r="V74" s="27">
        <v>2.13</v>
      </c>
      <c r="W74" s="27">
        <v>2.61</v>
      </c>
      <c r="X74" s="23" t="s">
        <v>46</v>
      </c>
      <c r="Y74" s="23">
        <v>2024</v>
      </c>
      <c r="Z74" s="23" t="str">
        <f>VLOOKUP($E74,'[1]5-2. Emission Facility'!$B$7:$D$16,2,0)</f>
        <v>Vehicle</v>
      </c>
      <c r="AA74" s="23" t="str">
        <f>VLOOKUP($Z74,'[1]5-2. Emission Facility'!$C$7:$D$16,2,0)</f>
        <v>Mobile combustion</v>
      </c>
      <c r="AB74" s="23" t="str">
        <f>IF($C74="","",IF(VLOOKUP($C74,'[1]1. General Facility Information'!$C$7:$E$13,3,0)="Korea",'Scope 1'!$I74,INDEX('[1]5-1. Fuel Density'!$B$6:$B$18,MATCH('Scope 1'!$I74,'[1]5-1. Fuel Density'!$C$6:$C$18,0))))</f>
        <v>Automotive gasoline (petrol)</v>
      </c>
      <c r="AC74" s="23">
        <f t="shared" si="1"/>
        <v>2.1560000000000001</v>
      </c>
      <c r="AD74" s="23">
        <f t="shared" si="7"/>
        <v>2.121</v>
      </c>
      <c r="AE74" s="23">
        <f t="shared" si="7"/>
        <v>2.2879999999999998</v>
      </c>
      <c r="AF74" s="23">
        <f t="shared" si="6"/>
        <v>1.597</v>
      </c>
      <c r="AG74" s="23">
        <f t="shared" si="6"/>
        <v>2.5510000000000002</v>
      </c>
      <c r="AH74" s="23">
        <f t="shared" si="6"/>
        <v>2.786</v>
      </c>
      <c r="AI74" s="23">
        <f t="shared" si="6"/>
        <v>2.67</v>
      </c>
      <c r="AJ74" s="23">
        <f t="shared" si="6"/>
        <v>0.38700000000000001</v>
      </c>
      <c r="AK74" s="23">
        <f t="shared" si="6"/>
        <v>2.1749999999999998</v>
      </c>
      <c r="AL74" s="23">
        <f t="shared" si="6"/>
        <v>2.7610000000000001</v>
      </c>
      <c r="AM74" s="23">
        <f t="shared" si="6"/>
        <v>2.13</v>
      </c>
      <c r="AN74" s="23">
        <f t="shared" si="6"/>
        <v>2.61</v>
      </c>
      <c r="AO74" s="23" t="str">
        <f t="shared" si="2"/>
        <v/>
      </c>
      <c r="AP74" s="34">
        <f t="shared" si="3"/>
        <v>26.231999999999996</v>
      </c>
      <c r="AQ74" s="23" t="str">
        <f t="shared" si="4"/>
        <v>㎥</v>
      </c>
      <c r="AR74" s="35">
        <f>IF($C74="","",$AP74*IF($AQ74="㎥",VLOOKUP('Scope 1'!AQ74,'[1]5-3. Unit Conversion'!$B$5:$J$13,3,FALSE)*VLOOKUP('Scope 1'!AB74,'[1]5-1. Fuel Density'!$B$6:$D$18,3,FALSE)*1000,IF($AQ74="kg",VLOOKUP('Scope 1'!AQ74,'[1]5-3. Unit Conversion'!$B$16:$G$21,3,FALSE),0)))</f>
        <v>19437.911999999997</v>
      </c>
      <c r="AS74" s="35">
        <f>IFERROR(IF($AB74="","",IF(VLOOKUP($AB74,'[1]5-1. Fuel Density'!$B$6:$G$19,6,0)="Use of other GHGs",0,IF($AB74="Industrial Wastes",$AR74*'[1]5-4. Calorific&amp;Emission factor'!$R$75,$AR74*VLOOKUP($AB74,'[1]5-4. Calorific&amp;Emission factor'!$P$9:$R$74,3,FALSE)))),0)</f>
        <v>861099.50159999984</v>
      </c>
      <c r="AT74" s="32">
        <f>IF($AB74="","",IF(OR($AB74="Hydrofluorocarbons(HFCs)",$AB74="ETC"),$AR74*VLOOKUP($J74,'[1]5-4. Calorific&amp;Emission factor'!$B$10:$D$14,3,0)/1000,IF(VLOOKUP($AB74,'[1]5-1. Fuel Density'!$B$6:$G$19,6,0)="Use of other GHGs",$AU74/1000,(($AU74*'[1]5-4. Calorific&amp;Emission factor'!$D$7)+($AV74*'[1]5-4. Calorific&amp;Emission factor'!$D$8)+($AW74*'[1]5-4. Calorific&amp;Emission factor'!$D$9))/1000)))</f>
        <v>59.884992618871664</v>
      </c>
      <c r="AU74" s="33">
        <f>IF($AB74="","",IF(VLOOKUP($AB74,'[1]5-1. Fuel Density'!$B$6:$G$19,6,0)="Use of other GHGs",$AR74*VLOOKUP($AB74,'[1]5-4. Calorific&amp;Emission factor'!$O$9:$Y$74,5,FALSE)/1000000,$AS74*VLOOKUP($AB74,'[1]5-4. Calorific&amp;Emission factor'!$P$9:$Y$74,4,FALSE)/1000000))</f>
        <v>59674.195460879986</v>
      </c>
      <c r="AV74" s="33">
        <f>IF($AB74="","",IF(VLOOKUP($AB74,'[1]5-1. Fuel Density'!$B$6:$G$19,6,0)="Use of other GHGs",0,$AS74*VLOOKUP($AB74,'[1]5-4. Calorific&amp;Emission factor'!$P$9:$Y$74,6,FALSE)/1000000))</f>
        <v>2.5832985047999992</v>
      </c>
      <c r="AW74" s="33">
        <f>IF($AB74="","",IF(VLOOKUP($AB74,'[1]5-1. Fuel Density'!$B$6:$G$19,6,0)="Use of other GHGs",0,$AS74*VLOOKUP($AB74,'[1]5-4. Calorific&amp;Emission factor'!$P$9:$Y$74,9,FALSE)/1000000))</f>
        <v>0.51665970095999991</v>
      </c>
    </row>
    <row r="75" spans="2:49">
      <c r="B75" s="23">
        <v>70</v>
      </c>
      <c r="C75" s="23" t="s">
        <v>69</v>
      </c>
      <c r="D75" s="23" t="s">
        <v>88</v>
      </c>
      <c r="E75" s="24" t="s">
        <v>84</v>
      </c>
      <c r="F75" s="24" t="s">
        <v>42</v>
      </c>
      <c r="G75" s="24" t="s">
        <v>43</v>
      </c>
      <c r="H75" s="24"/>
      <c r="I75" s="24" t="s">
        <v>85</v>
      </c>
      <c r="J75" s="38" t="s">
        <v>109</v>
      </c>
      <c r="K75" s="36">
        <v>212.39999999999998</v>
      </c>
      <c r="L75" s="27">
        <v>18.73</v>
      </c>
      <c r="M75" s="27">
        <v>19.48</v>
      </c>
      <c r="N75" s="27">
        <v>21.71</v>
      </c>
      <c r="O75" s="27">
        <v>14.62</v>
      </c>
      <c r="P75" s="27">
        <v>18.34</v>
      </c>
      <c r="Q75" s="27">
        <v>19.95</v>
      </c>
      <c r="R75" s="27">
        <v>17.489999999999998</v>
      </c>
      <c r="S75" s="27">
        <v>3.14</v>
      </c>
      <c r="T75" s="27">
        <v>19.73</v>
      </c>
      <c r="U75" s="27">
        <v>18.2</v>
      </c>
      <c r="V75" s="27">
        <v>20.260000000000002</v>
      </c>
      <c r="W75" s="27">
        <v>20.75</v>
      </c>
      <c r="X75" s="23" t="s">
        <v>46</v>
      </c>
      <c r="Y75" s="23">
        <v>2024</v>
      </c>
      <c r="Z75" s="23" t="str">
        <f>VLOOKUP($E75,'[1]5-2. Emission Facility'!$B$7:$D$16,2,0)</f>
        <v>Vehicle</v>
      </c>
      <c r="AA75" s="23" t="str">
        <f>VLOOKUP($Z75,'[1]5-2. Emission Facility'!$C$7:$D$16,2,0)</f>
        <v>Mobile combustion</v>
      </c>
      <c r="AB75" s="23" t="str">
        <f>IF($C75="","",IF(VLOOKUP($C75,'[1]1. General Facility Information'!$C$7:$E$13,3,0)="Korea",'Scope 1'!$I75,INDEX('[1]5-1. Fuel Density'!$B$6:$B$18,MATCH('Scope 1'!$I75,'[1]5-1. Fuel Density'!$C$6:$C$18,0))))</f>
        <v>Automotive gasoline (petrol)</v>
      </c>
      <c r="AC75" s="23">
        <f t="shared" ref="AC75:AC79" si="8">IF(OR($X75="㎥",$X75="kg"),$L75,"")</f>
        <v>18.73</v>
      </c>
      <c r="AD75" s="23">
        <f t="shared" si="7"/>
        <v>19.48</v>
      </c>
      <c r="AE75" s="23">
        <f t="shared" si="7"/>
        <v>21.71</v>
      </c>
      <c r="AF75" s="23">
        <f t="shared" si="6"/>
        <v>14.62</v>
      </c>
      <c r="AG75" s="23">
        <f t="shared" si="6"/>
        <v>18.34</v>
      </c>
      <c r="AH75" s="23">
        <f t="shared" si="6"/>
        <v>19.95</v>
      </c>
      <c r="AI75" s="23">
        <f t="shared" si="6"/>
        <v>17.489999999999998</v>
      </c>
      <c r="AJ75" s="23">
        <f t="shared" si="6"/>
        <v>3.14</v>
      </c>
      <c r="AK75" s="23">
        <f t="shared" si="6"/>
        <v>19.73</v>
      </c>
      <c r="AL75" s="23">
        <f t="shared" si="6"/>
        <v>18.2</v>
      </c>
      <c r="AM75" s="23">
        <f t="shared" si="6"/>
        <v>20.260000000000002</v>
      </c>
      <c r="AN75" s="23">
        <f t="shared" si="6"/>
        <v>20.75</v>
      </c>
      <c r="AO75" s="23" t="str">
        <f t="shared" ref="AO75:AO79" si="9">IF(SUM(AC75:AN75)-AP75=0,"","X")</f>
        <v/>
      </c>
      <c r="AP75" s="34">
        <f t="shared" ref="AP75:AP79" si="10">IF(OR($X75="㎥",$X75="kg"),$K75,"")</f>
        <v>212.39999999999998</v>
      </c>
      <c r="AQ75" s="23" t="str">
        <f t="shared" ref="AQ75:AQ79" si="11">IF(OR($X75="㎥",$X75="kg"),$X75,"")</f>
        <v>㎥</v>
      </c>
      <c r="AR75" s="35">
        <f>IF($C75="","",$AP75*IF($AQ75="㎥",VLOOKUP('Scope 1'!AQ75,'[1]5-3. Unit Conversion'!$B$5:$J$13,3,FALSE)*VLOOKUP('Scope 1'!AB75,'[1]5-1. Fuel Density'!$B$6:$D$18,3,FALSE)*1000,IF($AQ75="kg",VLOOKUP('Scope 1'!AQ75,'[1]5-3. Unit Conversion'!$B$16:$G$21,3,FALSE),0)))</f>
        <v>157388.4</v>
      </c>
      <c r="AS75" s="35">
        <f>IFERROR(IF($AB75="","",IF(VLOOKUP($AB75,'[1]5-1. Fuel Density'!$B$6:$G$19,6,0)="Use of other GHGs",0,IF($AB75="Industrial Wastes",$AR75*'[1]5-4. Calorific&amp;Emission factor'!$R$75,$AR75*VLOOKUP($AB75,'[1]5-4. Calorific&amp;Emission factor'!$P$9:$R$74,3,FALSE)))),0)</f>
        <v>6972306.1199999992</v>
      </c>
      <c r="AT75" s="32">
        <f>IF($AB75="","",IF(OR($AB75="Hydrofluorocarbons(HFCs)",$AB75="ETC"),$AR75*VLOOKUP($J75,'[1]5-4. Calorific&amp;Emission factor'!$B$10:$D$14,3,0)/1000,IF(VLOOKUP($AB75,'[1]5-1. Fuel Density'!$B$6:$G$19,6,0)="Use of other GHGs",$AU75/1000,(($AU75*'[1]5-4. Calorific&amp;Emission factor'!$D$7)+($AV75*'[1]5-4. Calorific&amp;Emission factor'!$D$8)+($AW75*'[1]5-4. Calorific&amp;Emission factor'!$D$9))/1000)))</f>
        <v>484.887634654176</v>
      </c>
      <c r="AU75" s="33">
        <f>IF($AB75="","",IF(VLOOKUP($AB75,'[1]5-1. Fuel Density'!$B$6:$G$19,6,0)="Use of other GHGs",$AR75*VLOOKUP($AB75,'[1]5-4. Calorific&amp;Emission factor'!$O$9:$Y$74,5,FALSE)/1000000,$AS75*VLOOKUP($AB75,'[1]5-4. Calorific&amp;Emission factor'!$P$9:$Y$74,4,FALSE)/1000000))</f>
        <v>483180.81411599996</v>
      </c>
      <c r="AV75" s="33">
        <f>IF($AB75="","",IF(VLOOKUP($AB75,'[1]5-1. Fuel Density'!$B$6:$G$19,6,0)="Use of other GHGs",0,$AS75*VLOOKUP($AB75,'[1]5-4. Calorific&amp;Emission factor'!$P$9:$Y$74,6,FALSE)/1000000))</f>
        <v>20.91691836</v>
      </c>
      <c r="AW75" s="33">
        <f>IF($AB75="","",IF(VLOOKUP($AB75,'[1]5-1. Fuel Density'!$B$6:$G$19,6,0)="Use of other GHGs",0,$AS75*VLOOKUP($AB75,'[1]5-4. Calorific&amp;Emission factor'!$P$9:$Y$74,9,FALSE)/1000000))</f>
        <v>4.1833836719999997</v>
      </c>
    </row>
    <row r="76" spans="2:49">
      <c r="B76" s="23">
        <v>71</v>
      </c>
      <c r="C76" s="23" t="s">
        <v>92</v>
      </c>
      <c r="D76" s="23" t="s">
        <v>92</v>
      </c>
      <c r="E76" s="24" t="s">
        <v>41</v>
      </c>
      <c r="F76" s="24" t="s">
        <v>42</v>
      </c>
      <c r="G76" s="24" t="s">
        <v>49</v>
      </c>
      <c r="H76" s="24" t="s">
        <v>50</v>
      </c>
      <c r="I76" s="24" t="s">
        <v>51</v>
      </c>
      <c r="J76" s="38" t="s">
        <v>93</v>
      </c>
      <c r="K76" s="26">
        <v>48.361943000000004</v>
      </c>
      <c r="L76" s="27">
        <v>4.4948969999999999</v>
      </c>
      <c r="M76" s="27">
        <v>4.1606440000000005</v>
      </c>
      <c r="N76" s="27">
        <v>4.2328850000000005</v>
      </c>
      <c r="O76" s="27">
        <v>4.4410860000000003</v>
      </c>
      <c r="P76" s="27">
        <v>4.4965069999999994</v>
      </c>
      <c r="Q76" s="27">
        <v>3.8893369999999998</v>
      </c>
      <c r="R76" s="27">
        <v>4.6039840000000005</v>
      </c>
      <c r="S76" s="27">
        <v>5.5065059999999999</v>
      </c>
      <c r="T76" s="27">
        <v>4.0547279999999999</v>
      </c>
      <c r="U76" s="27">
        <v>3.2303420000000003</v>
      </c>
      <c r="V76" s="27">
        <v>2.706658</v>
      </c>
      <c r="W76" s="27">
        <v>2.5443690000000001</v>
      </c>
      <c r="X76" s="23" t="s">
        <v>46</v>
      </c>
      <c r="Y76" s="23">
        <v>2024</v>
      </c>
      <c r="Z76" s="23" t="str">
        <f>VLOOKUP($E76,'[1]5-2. Emission Facility'!$B$7:$D$16,2,0)</f>
        <v>Vehicle</v>
      </c>
      <c r="AA76" s="23" t="str">
        <f>VLOOKUP($Z76,'[1]5-2. Emission Facility'!$C$7:$D$16,2,0)</f>
        <v>Mobile combustion</v>
      </c>
      <c r="AB76" s="23" t="str">
        <f>IF($C76="","",IF(VLOOKUP($C76,'[1]1. General Facility Information'!$C$7:$E$13,3,0)="Korea",'Scope 1'!$I76,INDEX('[1]5-1. Fuel Density'!$B$6:$B$18,MATCH('Scope 1'!$I76,'[1]5-1. Fuel Density'!$C$6:$C$18,0))))</f>
        <v>Automotive gasoline (petrol)</v>
      </c>
      <c r="AC76" s="23">
        <f t="shared" si="8"/>
        <v>4.4948969999999999</v>
      </c>
      <c r="AD76" s="23">
        <f t="shared" si="7"/>
        <v>4.1606440000000005</v>
      </c>
      <c r="AE76" s="23">
        <f t="shared" si="7"/>
        <v>4.2328850000000005</v>
      </c>
      <c r="AF76" s="23">
        <f t="shared" si="6"/>
        <v>4.4410860000000003</v>
      </c>
      <c r="AG76" s="23">
        <f t="shared" si="6"/>
        <v>4.4965069999999994</v>
      </c>
      <c r="AH76" s="23">
        <f t="shared" si="6"/>
        <v>3.8893369999999998</v>
      </c>
      <c r="AI76" s="23">
        <f t="shared" si="6"/>
        <v>4.6039840000000005</v>
      </c>
      <c r="AJ76" s="23">
        <f t="shared" si="6"/>
        <v>5.5065059999999999</v>
      </c>
      <c r="AK76" s="23">
        <f t="shared" si="6"/>
        <v>4.0547279999999999</v>
      </c>
      <c r="AL76" s="23">
        <f t="shared" si="6"/>
        <v>3.2303420000000003</v>
      </c>
      <c r="AM76" s="23">
        <f t="shared" si="6"/>
        <v>2.706658</v>
      </c>
      <c r="AN76" s="23">
        <f t="shared" si="6"/>
        <v>2.5443690000000001</v>
      </c>
      <c r="AO76" s="23" t="str">
        <f t="shared" si="9"/>
        <v/>
      </c>
      <c r="AP76" s="34">
        <f t="shared" si="10"/>
        <v>48.361943000000004</v>
      </c>
      <c r="AQ76" s="23" t="str">
        <f t="shared" si="11"/>
        <v>㎥</v>
      </c>
      <c r="AR76" s="35">
        <f>IF($C76="","",$AP76*IF($AQ76="㎥",VLOOKUP('Scope 1'!AQ76,'[1]5-3. Unit Conversion'!$B$5:$J$13,3,FALSE)*VLOOKUP('Scope 1'!AB76,'[1]5-1. Fuel Density'!$B$6:$D$18,3,FALSE)*1000,IF($AQ76="kg",VLOOKUP('Scope 1'!AQ76,'[1]5-3. Unit Conversion'!$B$16:$G$21,3,FALSE),0)))</f>
        <v>35836.199763000004</v>
      </c>
      <c r="AS76" s="35">
        <f>IFERROR(IF($AB76="","",IF(VLOOKUP($AB76,'[1]5-1. Fuel Density'!$B$6:$G$19,6,0)="Use of other GHGs",0,IF($AB76="Industrial Wastes",$AR76*'[1]5-4. Calorific&amp;Emission factor'!$R$75,$AR76*VLOOKUP($AB76,'[1]5-4. Calorific&amp;Emission factor'!$P$9:$R$74,3,FALSE)))),0)</f>
        <v>1587543.6495009002</v>
      </c>
      <c r="AT76" s="32">
        <f>IF($AB76="","",IF(OR($AB76="Hydrofluorocarbons(HFCs)",$AB76="ETC"),$AR76*VLOOKUP($J76,'[1]5-4. Calorific&amp;Emission factor'!$B$10:$D$14,3,0)/1000,IF(VLOOKUP($AB76,'[1]5-1. Fuel Density'!$B$6:$G$19,6,0)="Use of other GHGs",$AU76/1000,(($AU76*'[1]5-4. Calorific&amp;Emission factor'!$D$7)+($AV76*'[1]5-4. Calorific&amp;Emission factor'!$D$8)+($AW76*'[1]5-4. Calorific&amp;Emission factor'!$D$9))/1000)))</f>
        <v>110.40540559581019</v>
      </c>
      <c r="AU76" s="33">
        <f>IF($AB76="","",IF(VLOOKUP($AB76,'[1]5-1. Fuel Density'!$B$6:$G$19,6,0)="Use of other GHGs",$AR76*VLOOKUP($AB76,'[1]5-4. Calorific&amp;Emission factor'!$O$9:$Y$74,5,FALSE)/1000000,$AS76*VLOOKUP($AB76,'[1]5-4. Calorific&amp;Emission factor'!$P$9:$Y$74,4,FALSE)/1000000))</f>
        <v>110016.77491041238</v>
      </c>
      <c r="AV76" s="33">
        <f>IF($AB76="","",IF(VLOOKUP($AB76,'[1]5-1. Fuel Density'!$B$6:$G$19,6,0)="Use of other GHGs",0,$AS76*VLOOKUP($AB76,'[1]5-4. Calorific&amp;Emission factor'!$P$9:$Y$74,6,FALSE)/1000000))</f>
        <v>4.762630948502701</v>
      </c>
      <c r="AW76" s="33">
        <f>IF($AB76="","",IF(VLOOKUP($AB76,'[1]5-1. Fuel Density'!$B$6:$G$19,6,0)="Use of other GHGs",0,$AS76*VLOOKUP($AB76,'[1]5-4. Calorific&amp;Emission factor'!$P$9:$Y$74,9,FALSE)/1000000))</f>
        <v>0.95252618970054004</v>
      </c>
    </row>
    <row r="77" spans="2:49">
      <c r="B77" s="23">
        <v>72</v>
      </c>
      <c r="C77" s="23" t="s">
        <v>94</v>
      </c>
      <c r="D77" s="23" t="s">
        <v>94</v>
      </c>
      <c r="E77" s="24" t="s">
        <v>95</v>
      </c>
      <c r="F77" s="24" t="s">
        <v>42</v>
      </c>
      <c r="G77" s="24" t="s">
        <v>104</v>
      </c>
      <c r="H77" s="24" t="s">
        <v>110</v>
      </c>
      <c r="I77" s="24" t="s">
        <v>62</v>
      </c>
      <c r="J77" s="38"/>
      <c r="K77" s="26">
        <v>1.69</v>
      </c>
      <c r="L77" s="27">
        <v>0.27</v>
      </c>
      <c r="M77" s="27">
        <v>0.15</v>
      </c>
      <c r="N77" s="27">
        <v>0.28000000000000003</v>
      </c>
      <c r="O77" s="27">
        <v>0.28000000000000003</v>
      </c>
      <c r="P77" s="27">
        <v>0.123</v>
      </c>
      <c r="Q77" s="27">
        <v>7.6999999999999999E-2</v>
      </c>
      <c r="R77" s="27">
        <v>0.15</v>
      </c>
      <c r="S77" s="27">
        <v>0.13</v>
      </c>
      <c r="T77" s="27">
        <v>0.185</v>
      </c>
      <c r="U77" s="27">
        <v>0</v>
      </c>
      <c r="V77" s="27">
        <v>1.4999999999999999E-2</v>
      </c>
      <c r="W77" s="27">
        <v>0.03</v>
      </c>
      <c r="X77" s="23" t="s">
        <v>46</v>
      </c>
      <c r="Y77" s="23">
        <v>2024</v>
      </c>
      <c r="Z77" s="23" t="str">
        <f>VLOOKUP($E77,'[1]5-2. Emission Facility'!$B$7:$D$16,2,0)</f>
        <v>Power Generator</v>
      </c>
      <c r="AA77" s="23" t="str">
        <f>VLOOKUP($Z77,'[1]5-2. Emission Facility'!$C$7:$D$16,2,0)</f>
        <v>Stationary Combustion</v>
      </c>
      <c r="AB77" s="23" t="str">
        <f>IF($C77="","",IF(VLOOKUP($C77,'[1]1. General Facility Information'!$C$7:$E$13,3,0)="Korea",'Scope 1'!$I77,INDEX('[1]5-1. Fuel Density'!$B$6:$B$18,MATCH('Scope 1'!$I77,'[1]5-1. Fuel Density'!$C$6:$C$18,0))))</f>
        <v>Biodiesel</v>
      </c>
      <c r="AC77" s="23">
        <f t="shared" si="8"/>
        <v>0.27</v>
      </c>
      <c r="AD77" s="23">
        <f t="shared" si="7"/>
        <v>0.15</v>
      </c>
      <c r="AE77" s="23">
        <f t="shared" si="7"/>
        <v>0.28000000000000003</v>
      </c>
      <c r="AF77" s="23">
        <f t="shared" si="6"/>
        <v>0.28000000000000003</v>
      </c>
      <c r="AG77" s="23">
        <f t="shared" si="6"/>
        <v>0.123</v>
      </c>
      <c r="AH77" s="23">
        <f t="shared" si="6"/>
        <v>7.6999999999999999E-2</v>
      </c>
      <c r="AI77" s="23">
        <f t="shared" ref="AI77:AN79" si="12">IF(OR($X77="㎥",$X77="kg"),R77,"")</f>
        <v>0.15</v>
      </c>
      <c r="AJ77" s="23">
        <f t="shared" si="12"/>
        <v>0.13</v>
      </c>
      <c r="AK77" s="23">
        <f t="shared" si="12"/>
        <v>0.185</v>
      </c>
      <c r="AL77" s="23">
        <f t="shared" si="12"/>
        <v>0</v>
      </c>
      <c r="AM77" s="23">
        <f t="shared" si="12"/>
        <v>1.4999999999999999E-2</v>
      </c>
      <c r="AN77" s="23">
        <f t="shared" si="12"/>
        <v>0.03</v>
      </c>
      <c r="AO77" s="23" t="str">
        <f t="shared" si="9"/>
        <v/>
      </c>
      <c r="AP77" s="34">
        <f t="shared" si="10"/>
        <v>1.69</v>
      </c>
      <c r="AQ77" s="23" t="str">
        <f t="shared" si="11"/>
        <v>㎥</v>
      </c>
      <c r="AR77" s="35">
        <f>IF($C77="","",$AP77*IF($AQ77="㎥",VLOOKUP('Scope 1'!AQ77,'[1]5-3. Unit Conversion'!$B$5:$J$13,3,FALSE)*VLOOKUP('Scope 1'!AB77,'[1]5-1. Fuel Density'!$B$6:$D$18,3,FALSE)*1000,IF($AQ77="kg",VLOOKUP('Scope 1'!AQ77,'[1]5-3. Unit Conversion'!$B$16:$G$21,3,FALSE),0)))</f>
        <v>1428.05</v>
      </c>
      <c r="AS77" s="35">
        <f>IFERROR(IF($AB77="","",IF(VLOOKUP($AB77,'[1]5-1. Fuel Density'!$B$6:$G$19,6,0)="Use of other GHGs",0,IF($AB77="Industrial Wastes",$AR77*'[1]5-4. Calorific&amp;Emission factor'!$R$75,$AR77*VLOOKUP($AB77,'[1]5-4. Calorific&amp;Emission factor'!$P$9:$R$74,3,FALSE)))),0)</f>
        <v>38557.35</v>
      </c>
      <c r="AT77" s="32">
        <f>IF($AB77="","",IF(OR($AB77="Hydrofluorocarbons(HFCs)",$AB77="ETC"),$AR77*VLOOKUP($J77,'[1]5-4. Calorific&amp;Emission factor'!$B$10:$D$14,3,0)/1000,IF(VLOOKUP($AB77,'[1]5-1. Fuel Density'!$B$6:$G$19,6,0)="Use of other GHGs",$AU77/1000,(($AU77*'[1]5-4. Calorific&amp;Emission factor'!$D$7)+($AV77*'[1]5-4. Calorific&amp;Emission factor'!$D$8)+($AW77*'[1]5-4. Calorific&amp;Emission factor'!$D$9))/1000)))</f>
        <v>2.7392992192800003</v>
      </c>
      <c r="AU77" s="33">
        <f>IF($AB77="","",IF(VLOOKUP($AB77,'[1]5-1. Fuel Density'!$B$6:$G$19,6,0)="Use of other GHGs",$AR77*VLOOKUP($AB77,'[1]5-4. Calorific&amp;Emission factor'!$O$9:$Y$74,5,FALSE)/1000000,$AS77*VLOOKUP($AB77,'[1]5-4. Calorific&amp;Emission factor'!$P$9:$Y$74,4,FALSE)/1000000))</f>
        <v>2729.8603800000001</v>
      </c>
      <c r="AV77" s="33">
        <f>IF($AB77="","",IF(VLOOKUP($AB77,'[1]5-1. Fuel Density'!$B$6:$G$19,6,0)="Use of other GHGs",0,$AS77*VLOOKUP($AB77,'[1]5-4. Calorific&amp;Emission factor'!$P$9:$Y$74,6,FALSE)/1000000))</f>
        <v>0.11567204999999998</v>
      </c>
      <c r="AW77" s="33">
        <f>IF($AB77="","",IF(VLOOKUP($AB77,'[1]5-1. Fuel Density'!$B$6:$G$19,6,0)="Use of other GHGs",0,$AS77*VLOOKUP($AB77,'[1]5-4. Calorific&amp;Emission factor'!$P$9:$Y$74,9,FALSE)/1000000))</f>
        <v>2.3134410000000001E-2</v>
      </c>
    </row>
    <row r="78" spans="2:49">
      <c r="B78" s="23">
        <v>73</v>
      </c>
      <c r="C78" s="23" t="s">
        <v>94</v>
      </c>
      <c r="D78" s="23" t="s">
        <v>94</v>
      </c>
      <c r="E78" s="24" t="s">
        <v>41</v>
      </c>
      <c r="F78" s="24" t="s">
        <v>42</v>
      </c>
      <c r="G78" s="24" t="s">
        <v>43</v>
      </c>
      <c r="H78" s="24" t="s">
        <v>97</v>
      </c>
      <c r="I78" s="24" t="s">
        <v>62</v>
      </c>
      <c r="J78" s="38"/>
      <c r="K78" s="26">
        <v>41.929117647058824</v>
      </c>
      <c r="L78" s="27">
        <v>5.8090000000000002</v>
      </c>
      <c r="M78" s="27">
        <v>3.113</v>
      </c>
      <c r="N78" s="27">
        <v>5.5760699999999996</v>
      </c>
      <c r="O78" s="27">
        <v>5.4761199999999999</v>
      </c>
      <c r="P78" s="27">
        <v>2.6440999999999999</v>
      </c>
      <c r="Q78" s="27">
        <v>2.6079599999999998</v>
      </c>
      <c r="R78" s="27">
        <v>1.8111600000000001</v>
      </c>
      <c r="S78" s="27">
        <v>1.9341388235294117</v>
      </c>
      <c r="T78" s="27">
        <v>2.2858264705882352</v>
      </c>
      <c r="U78" s="27">
        <v>2.0702723529411768</v>
      </c>
      <c r="V78" s="27">
        <v>5.4814699999999998</v>
      </c>
      <c r="W78" s="27">
        <v>3.12</v>
      </c>
      <c r="X78" s="23" t="s">
        <v>46</v>
      </c>
      <c r="Y78" s="23">
        <v>2024</v>
      </c>
      <c r="Z78" s="23" t="str">
        <f>VLOOKUP($E78,'[1]5-2. Emission Facility'!$B$7:$D$16,2,0)</f>
        <v>Vehicle</v>
      </c>
      <c r="AA78" s="23" t="str">
        <f>VLOOKUP($Z78,'[1]5-2. Emission Facility'!$C$7:$D$16,2,0)</f>
        <v>Mobile combustion</v>
      </c>
      <c r="AB78" s="23" t="str">
        <f>IF($C78="","",IF(VLOOKUP($C78,'[1]1. General Facility Information'!$C$7:$E$13,3,0)="Korea",'Scope 1'!$I78,INDEX('[1]5-1. Fuel Density'!$B$6:$B$18,MATCH('Scope 1'!$I78,'[1]5-1. Fuel Density'!$C$6:$C$18,0))))</f>
        <v>Biodiesel</v>
      </c>
      <c r="AC78" s="23">
        <f t="shared" si="8"/>
        <v>5.8090000000000002</v>
      </c>
      <c r="AD78" s="23">
        <f t="shared" si="7"/>
        <v>3.113</v>
      </c>
      <c r="AE78" s="23">
        <f t="shared" si="7"/>
        <v>5.5760699999999996</v>
      </c>
      <c r="AF78" s="23">
        <f t="shared" si="7"/>
        <v>5.4761199999999999</v>
      </c>
      <c r="AG78" s="23">
        <f t="shared" si="7"/>
        <v>2.6440999999999999</v>
      </c>
      <c r="AH78" s="23">
        <f t="shared" si="7"/>
        <v>2.6079599999999998</v>
      </c>
      <c r="AI78" s="23">
        <f t="shared" si="12"/>
        <v>1.8111600000000001</v>
      </c>
      <c r="AJ78" s="23">
        <f t="shared" si="12"/>
        <v>1.9341388235294117</v>
      </c>
      <c r="AK78" s="23">
        <f t="shared" si="12"/>
        <v>2.2858264705882352</v>
      </c>
      <c r="AL78" s="23">
        <f t="shared" si="12"/>
        <v>2.0702723529411768</v>
      </c>
      <c r="AM78" s="23">
        <f t="shared" si="12"/>
        <v>5.4814699999999998</v>
      </c>
      <c r="AN78" s="23">
        <f t="shared" si="12"/>
        <v>3.12</v>
      </c>
      <c r="AO78" s="23" t="str">
        <f t="shared" si="9"/>
        <v/>
      </c>
      <c r="AP78" s="34">
        <f t="shared" si="10"/>
        <v>41.929117647058824</v>
      </c>
      <c r="AQ78" s="23" t="str">
        <f t="shared" si="11"/>
        <v>㎥</v>
      </c>
      <c r="AR78" s="35">
        <f>IF($C78="","",$AP78*IF($AQ78="㎥",VLOOKUP('Scope 1'!AQ78,'[1]5-3. Unit Conversion'!$B$5:$J$13,3,FALSE)*VLOOKUP('Scope 1'!AB78,'[1]5-1. Fuel Density'!$B$6:$D$18,3,FALSE)*1000,IF($AQ78="kg",VLOOKUP('Scope 1'!AQ78,'[1]5-3. Unit Conversion'!$B$16:$G$21,3,FALSE),0)))</f>
        <v>35430.104411764703</v>
      </c>
      <c r="AS78" s="35">
        <f>IFERROR(IF($AB78="","",IF(VLOOKUP($AB78,'[1]5-1. Fuel Density'!$B$6:$G$19,6,0)="Use of other GHGs",0,IF($AB78="Industrial Wastes",$AR78*'[1]5-4. Calorific&amp;Emission factor'!$R$75,$AR78*VLOOKUP($AB78,'[1]5-4. Calorific&amp;Emission factor'!$P$9:$R$74,3,FALSE)))),0)</f>
        <v>956612.81911764701</v>
      </c>
      <c r="AT78" s="32">
        <f>IF($AB78="","",IF(OR($AB78="Hydrofluorocarbons(HFCs)",$AB78="ETC"),$AR78*VLOOKUP($J78,'[1]5-4. Calorific&amp;Emission factor'!$B$10:$D$14,3,0)/1000,IF(VLOOKUP($AB78,'[1]5-1. Fuel Density'!$B$6:$G$19,6,0)="Use of other GHGs",$AU78/1000,(($AU78*'[1]5-4. Calorific&amp;Emission factor'!$D$7)+($AV78*'[1]5-4. Calorific&amp;Emission factor'!$D$8)+($AW78*'[1]5-4. Calorific&amp;Emission factor'!$D$9))/1000)))</f>
        <v>67.962366411649398</v>
      </c>
      <c r="AU78" s="33">
        <f>IF($AB78="","",IF(VLOOKUP($AB78,'[1]5-1. Fuel Density'!$B$6:$G$19,6,0)="Use of other GHGs",$AR78*VLOOKUP($AB78,'[1]5-4. Calorific&amp;Emission factor'!$O$9:$Y$74,5,FALSE)/1000000,$AS78*VLOOKUP($AB78,'[1]5-4. Calorific&amp;Emission factor'!$P$9:$Y$74,4,FALSE)/1000000))</f>
        <v>67728.187593529408</v>
      </c>
      <c r="AV78" s="33">
        <f>IF($AB78="","",IF(VLOOKUP($AB78,'[1]5-1. Fuel Density'!$B$6:$G$19,6,0)="Use of other GHGs",0,$AS78*VLOOKUP($AB78,'[1]5-4. Calorific&amp;Emission factor'!$P$9:$Y$74,6,FALSE)/1000000))</f>
        <v>2.869838457352941</v>
      </c>
      <c r="AW78" s="33">
        <f>IF($AB78="","",IF(VLOOKUP($AB78,'[1]5-1. Fuel Density'!$B$6:$G$19,6,0)="Use of other GHGs",0,$AS78*VLOOKUP($AB78,'[1]5-4. Calorific&amp;Emission factor'!$P$9:$Y$74,9,FALSE)/1000000))</f>
        <v>0.57396769147058824</v>
      </c>
    </row>
    <row r="79" spans="2:49">
      <c r="B79" s="23">
        <v>74</v>
      </c>
      <c r="C79" s="23" t="s">
        <v>94</v>
      </c>
      <c r="D79" s="23" t="s">
        <v>94</v>
      </c>
      <c r="E79" s="24" t="s">
        <v>41</v>
      </c>
      <c r="F79" s="24" t="s">
        <v>42</v>
      </c>
      <c r="G79" s="24" t="s">
        <v>43</v>
      </c>
      <c r="H79" s="24" t="s">
        <v>98</v>
      </c>
      <c r="I79" s="24" t="s">
        <v>51</v>
      </c>
      <c r="J79" s="38"/>
      <c r="K79" s="26">
        <v>19.997904971466816</v>
      </c>
      <c r="L79" s="27">
        <v>1.7685852810810807</v>
      </c>
      <c r="M79" s="27">
        <v>1.695030667953668</v>
      </c>
      <c r="N79" s="27">
        <v>1.7123770478764477</v>
      </c>
      <c r="O79" s="27">
        <v>1.4128859803500982</v>
      </c>
      <c r="P79" s="27">
        <v>1.9454160301158299</v>
      </c>
      <c r="Q79" s="27">
        <v>1.3815597335907339</v>
      </c>
      <c r="R79" s="27">
        <v>1.9579497011583011</v>
      </c>
      <c r="S79" s="27">
        <v>1.6617122375987838</v>
      </c>
      <c r="T79" s="27">
        <v>1.6600995687258691</v>
      </c>
      <c r="U79" s="27">
        <v>1.6743778304540198</v>
      </c>
      <c r="V79" s="27">
        <v>1.6279108925619834</v>
      </c>
      <c r="W79" s="27">
        <v>1.5</v>
      </c>
      <c r="X79" s="23" t="s">
        <v>46</v>
      </c>
      <c r="Y79" s="23">
        <v>2024</v>
      </c>
      <c r="Z79" s="23" t="str">
        <f>VLOOKUP($E79,'[1]5-2. Emission Facility'!$B$7:$D$16,2,0)</f>
        <v>Vehicle</v>
      </c>
      <c r="AA79" s="23" t="str">
        <f>VLOOKUP($Z79,'[1]5-2. Emission Facility'!$C$7:$D$16,2,0)</f>
        <v>Mobile combustion</v>
      </c>
      <c r="AB79" s="23" t="str">
        <f>IF($C79="","",IF(VLOOKUP($C79,'[1]1. General Facility Information'!$C$7:$E$13,3,0)="Korea",'Scope 1'!$I79,INDEX('[1]5-1. Fuel Density'!$B$6:$B$18,MATCH('Scope 1'!$I79,'[1]5-1. Fuel Density'!$C$6:$C$18,0))))</f>
        <v>Automotive gasoline (petrol)</v>
      </c>
      <c r="AC79" s="23">
        <f t="shared" si="8"/>
        <v>1.7685852810810807</v>
      </c>
      <c r="AD79" s="23">
        <f t="shared" si="7"/>
        <v>1.695030667953668</v>
      </c>
      <c r="AE79" s="23">
        <f t="shared" si="7"/>
        <v>1.7123770478764477</v>
      </c>
      <c r="AF79" s="23">
        <f t="shared" si="7"/>
        <v>1.4128859803500982</v>
      </c>
      <c r="AG79" s="23">
        <f t="shared" si="7"/>
        <v>1.9454160301158299</v>
      </c>
      <c r="AH79" s="23">
        <f t="shared" si="7"/>
        <v>1.3815597335907339</v>
      </c>
      <c r="AI79" s="23">
        <f t="shared" si="12"/>
        <v>1.9579497011583011</v>
      </c>
      <c r="AJ79" s="23">
        <f t="shared" si="12"/>
        <v>1.6617122375987838</v>
      </c>
      <c r="AK79" s="23">
        <f t="shared" si="12"/>
        <v>1.6600995687258691</v>
      </c>
      <c r="AL79" s="23">
        <f t="shared" si="12"/>
        <v>1.6743778304540198</v>
      </c>
      <c r="AM79" s="23">
        <f t="shared" si="12"/>
        <v>1.6279108925619834</v>
      </c>
      <c r="AN79" s="23">
        <f t="shared" si="12"/>
        <v>1.5</v>
      </c>
      <c r="AO79" s="23" t="str">
        <f t="shared" si="9"/>
        <v/>
      </c>
      <c r="AP79" s="34">
        <f t="shared" si="10"/>
        <v>19.997904971466816</v>
      </c>
      <c r="AQ79" s="23" t="str">
        <f t="shared" si="11"/>
        <v>㎥</v>
      </c>
      <c r="AR79" s="35">
        <f>IF($C79="","",$AP79*IF($AQ79="㎥",VLOOKUP('Scope 1'!AQ79,'[1]5-3. Unit Conversion'!$B$5:$J$13,3,FALSE)*VLOOKUP('Scope 1'!AB79,'[1]5-1. Fuel Density'!$B$6:$D$18,3,FALSE)*1000,IF($AQ79="kg",VLOOKUP('Scope 1'!AQ79,'[1]5-3. Unit Conversion'!$B$16:$G$21,3,FALSE),0)))</f>
        <v>14818.447583856911</v>
      </c>
      <c r="AS79" s="35">
        <f>IFERROR(IF($AB79="","",IF(VLOOKUP($AB79,'[1]5-1. Fuel Density'!$B$6:$G$19,6,0)="Use of other GHGs",0,IF($AB79="Industrial Wastes",$AR79*'[1]5-4. Calorific&amp;Emission factor'!$R$75,$AR79*VLOOKUP($AB79,'[1]5-4. Calorific&amp;Emission factor'!$P$9:$R$74,3,FALSE)))),0)</f>
        <v>656457.22796486109</v>
      </c>
      <c r="AT79" s="32">
        <f>IF($AB79="","",IF(OR($AB79="Hydrofluorocarbons(HFCs)",$AB79="ETC"),$AR79*VLOOKUP($J79,'[1]5-4. Calorific&amp;Emission factor'!$B$10:$D$14,3,0)/1000,IF(VLOOKUP($AB79,'[1]5-1. Fuel Density'!$B$6:$G$19,6,0)="Use of other GHGs",$AU79/1000,(($AU79*'[1]5-4. Calorific&amp;Emission factor'!$D$7)+($AV79*'[1]5-4. Calorific&amp;Emission factor'!$D$8)+($AW79*'[1]5-4. Calorific&amp;Emission factor'!$D$9))/1000)))</f>
        <v>45.653186627370673</v>
      </c>
      <c r="AU79" s="33">
        <f>IF($AB79="","",IF(VLOOKUP($AB79,'[1]5-1. Fuel Density'!$B$6:$G$19,6,0)="Use of other GHGs",$AR79*VLOOKUP($AB79,'[1]5-4. Calorific&amp;Emission factor'!$O$9:$Y$74,5,FALSE)/1000000,$AS79*VLOOKUP($AB79,'[1]5-4. Calorific&amp;Emission factor'!$P$9:$Y$74,4,FALSE)/1000000))</f>
        <v>45492.485897964871</v>
      </c>
      <c r="AV79" s="33">
        <f>IF($AB79="","",IF(VLOOKUP($AB79,'[1]5-1. Fuel Density'!$B$6:$G$19,6,0)="Use of other GHGs",0,$AS79*VLOOKUP($AB79,'[1]5-4. Calorific&amp;Emission factor'!$P$9:$Y$74,6,FALSE)/1000000))</f>
        <v>1.9693716838945832</v>
      </c>
      <c r="AW79" s="33">
        <f>IF($AB79="","",IF(VLOOKUP($AB79,'[1]5-1. Fuel Density'!$B$6:$G$19,6,0)="Use of other GHGs",0,$AS79*VLOOKUP($AB79,'[1]5-4. Calorific&amp;Emission factor'!$P$9:$Y$74,9,FALSE)/1000000))</f>
        <v>0.39387433677891664</v>
      </c>
    </row>
    <row r="81" spans="42:46">
      <c r="AP81" s="39"/>
      <c r="AQ81" s="39"/>
      <c r="AR81" s="39"/>
      <c r="AT81"/>
    </row>
    <row r="82" spans="42:46">
      <c r="AP82" s="39"/>
      <c r="AT82"/>
    </row>
    <row r="83" spans="42:46">
      <c r="AP83" s="40"/>
      <c r="AQ83" s="40"/>
      <c r="AT83"/>
    </row>
    <row r="86" spans="42:46">
      <c r="AP86" s="39"/>
    </row>
    <row r="93" spans="42:46">
      <c r="AP93" s="42"/>
      <c r="AQ93" s="42"/>
      <c r="AR93" s="43"/>
      <c r="AS93" s="43"/>
    </row>
    <row r="94" spans="42:46">
      <c r="AP94" s="42"/>
      <c r="AQ94" s="42"/>
      <c r="AR94" s="43"/>
      <c r="AS94" s="43"/>
    </row>
    <row r="95" spans="42:46">
      <c r="AP95" s="42"/>
      <c r="AQ95" s="42"/>
      <c r="AR95" s="43"/>
      <c r="AS95" s="43"/>
    </row>
    <row r="96" spans="42:46">
      <c r="AP96" s="42"/>
      <c r="AQ96" s="42"/>
      <c r="AR96" s="43"/>
      <c r="AS96" s="43"/>
    </row>
    <row r="97" spans="42:45">
      <c r="AP97" s="42"/>
      <c r="AQ97" s="42"/>
      <c r="AR97" s="43"/>
      <c r="AS97" s="43"/>
    </row>
    <row r="98" spans="42:45">
      <c r="AP98" s="42"/>
      <c r="AQ98" s="42"/>
      <c r="AR98" s="43"/>
      <c r="AS98" s="43"/>
    </row>
    <row r="99" spans="42:45">
      <c r="AP99" s="43"/>
      <c r="AQ99" s="43"/>
      <c r="AR99" s="43"/>
    </row>
    <row r="101" spans="42:45">
      <c r="AP101" s="39"/>
      <c r="AQ101" s="39"/>
      <c r="AR101" s="39"/>
    </row>
    <row r="104" spans="42:45">
      <c r="AP104" s="42"/>
      <c r="AQ104" s="42"/>
      <c r="AR104" s="43"/>
    </row>
  </sheetData>
  <autoFilter ref="B5:AX79" xr:uid="{9CF6EEBF-427B-461D-A382-BA4D75BB32D1}"/>
  <mergeCells count="3">
    <mergeCell ref="E4:X4"/>
    <mergeCell ref="Y4:AR4"/>
    <mergeCell ref="AS4:AW4"/>
  </mergeCells>
  <conditionalFormatting sqref="AT6:AT80 AT84:AT1048576">
    <cfRule type="expression" dxfId="0" priority="1">
      <formula>$AT6&lt;&gt;""</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Yudo</dc:creator>
  <cp:lastModifiedBy>Gary Yudo</cp:lastModifiedBy>
  <dcterms:created xsi:type="dcterms:W3CDTF">2025-11-18T12:02:17Z</dcterms:created>
  <dcterms:modified xsi:type="dcterms:W3CDTF">2025-11-18T12:02:32Z</dcterms:modified>
</cp:coreProperties>
</file>